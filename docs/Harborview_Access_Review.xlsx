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Read Me" sheetId="1" state="visible" r:id="rId3"/>
    <sheet name="Access Review" sheetId="2" state="visible" r:id="rId4"/>
    <sheet name="Summary" sheetId="3" state="visible" r:id="rId5"/>
  </sheets>
  <definedNames>
    <definedName function="false" hidden="true" localSheetId="1" name="_xlnm._FilterDatabase" vbProcedure="false">'Access Review'!$A$1:$S$41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<sst xmlns="http://schemas.openxmlformats.org/spreadsheetml/2006/main" count="670" uniqueCount="338">
  <si>
    <t xml:space="preserve">SIMULATED PROJECT — all people, companies, and data are fictional.</t>
  </si>
  <si>
    <t xml:space="preserve">Company: Harborview Logistics (fictional). Review date: 2026-10-26.</t>
  </si>
  <si>
    <t xml:space="preserve">How to use this workbook</t>
  </si>
  <si>
    <t xml:space="preserve">1. Go through the 'Access Review' tab one user at a time.</t>
  </si>
  <si>
    <t xml:space="preserve">2. Fill ONLY the yellow columns: Decision, Access to Remove, Decision Owner, Review Rationale.</t>
  </si>
  <si>
    <t xml:space="preserve">3. Decision has a dropdown: Keep / Modify access / Remove access / Disable account / Escalate.</t>
  </si>
  <si>
    <t xml:space="preserve">4. 'Decision Owner' = who should approve/apply the change (e.g., user's manager, data owner, IT Security).</t>
  </si>
  <si>
    <t xml:space="preserve">5. The 'Summary' tab counts your decisions automatically.</t>
  </si>
  <si>
    <t xml:space="preserve">What to look for</t>
  </si>
  <si>
    <t xml:space="preserve">- Someone who changed departments but kept their old access</t>
  </si>
  <si>
    <t xml:space="preserve">- A contractor whose end date has passed</t>
  </si>
  <si>
    <t xml:space="preserve">- A standard user holding administrator-level access</t>
  </si>
  <si>
    <t xml:space="preserve">- Accounts that don't match HR status, or that haven't been used in a long time</t>
  </si>
  <si>
    <t xml:space="preserve">- Access with a vague, outdated, or missing business justification</t>
  </si>
  <si>
    <t xml:space="preserve">- Apply least privilege: the access someone needs to do their job, and no more.</t>
  </si>
  <si>
    <t xml:space="preserve">Example of a completed row (illustration only - not one of the 40 users)</t>
  </si>
  <si>
    <t xml:space="preserve">Decision: Remove access | Access to Remove: Finance-Managers | Decision Owner: Finance Director | Rationale: Temporary manager coverage ended; role no longer requires approval rights.</t>
  </si>
  <si>
    <t xml:space="preserve">User ID</t>
  </si>
  <si>
    <t xml:space="preserve">Username</t>
  </si>
  <si>
    <t xml:space="preserve">Full Name</t>
  </si>
  <si>
    <t xml:space="preserve">Job Title</t>
  </si>
  <si>
    <t xml:space="preserve">Department</t>
  </si>
  <si>
    <t xml:space="preserve">Manager</t>
  </si>
  <si>
    <t xml:space="preserve">Employment Type</t>
  </si>
  <si>
    <t xml:space="preserve">Contract End Date</t>
  </si>
  <si>
    <t xml:space="preserve">HR Status</t>
  </si>
  <si>
    <t xml:space="preserve">Account Status</t>
  </si>
  <si>
    <t xml:space="preserve">Last Login</t>
  </si>
  <si>
    <t xml:space="preserve">Systems</t>
  </si>
  <si>
    <t xml:space="preserve">Group Membership</t>
  </si>
  <si>
    <t xml:space="preserve">Access Level</t>
  </si>
  <si>
    <t xml:space="preserve">Business Justification</t>
  </si>
  <si>
    <t xml:space="preserve">Decision</t>
  </si>
  <si>
    <t xml:space="preserve">Access to Remove</t>
  </si>
  <si>
    <t xml:space="preserve">Decision Owner</t>
  </si>
  <si>
    <t xml:space="preserve">Review Rationale</t>
  </si>
  <si>
    <t xml:space="preserve">U001</t>
  </si>
  <si>
    <t xml:space="preserve">dwhitfield</t>
  </si>
  <si>
    <t xml:space="preserve">Dana Whitfield</t>
  </si>
  <si>
    <t xml:space="preserve">Finance Director</t>
  </si>
  <si>
    <t xml:space="preserve">Finance</t>
  </si>
  <si>
    <t xml:space="preserve">Marcus Hale (CFO)</t>
  </si>
  <si>
    <t xml:space="preserve">Employee</t>
  </si>
  <si>
    <t xml:space="preserve">Active</t>
  </si>
  <si>
    <t xml:space="preserve">Enabled</t>
  </si>
  <si>
    <t xml:space="preserve">ERP-Finance, Expense Portal, Network Share</t>
  </si>
  <si>
    <t xml:space="preserve">Finance-Users, Finance-Managers, Finance-Reports, Expenses-Approvers</t>
  </si>
  <si>
    <t xml:space="preserve">Elevated</t>
  </si>
  <si>
    <t xml:space="preserve">Department head; approves expenses and reviews financial reports.</t>
  </si>
  <si>
    <t xml:space="preserve">Keep</t>
  </si>
  <si>
    <t xml:space="preserve">Active employee, logged in today. Finance-Managers, Finance-Reports and Expenses-Approvers match their role as department head, per the business justification. No change.</t>
  </si>
  <si>
    <t xml:space="preserve">U002</t>
  </si>
  <si>
    <t xml:space="preserve">obradshaw</t>
  </si>
  <si>
    <t xml:space="preserve">Owen Bradshaw</t>
  </si>
  <si>
    <t xml:space="preserve">Finance Manager</t>
  </si>
  <si>
    <t xml:space="preserve">Finance-Users, Finance-Managers, Expenses-Approvers</t>
  </si>
  <si>
    <t xml:space="preserve">Manages AP/AR team; approves team expenses.</t>
  </si>
  <si>
    <t xml:space="preserve">Active employee, recent login. Finance-Users, Finance-Managers, Expenses-Approvers match their Finance Manager role. No change.</t>
  </si>
  <si>
    <t xml:space="preserve">U003</t>
  </si>
  <si>
    <t xml:space="preserve">premington</t>
  </si>
  <si>
    <t xml:space="preserve">Paige Remington</t>
  </si>
  <si>
    <t xml:space="preserve">Senior Accountant</t>
  </si>
  <si>
    <t xml:space="preserve">ERP-Finance, Network Share</t>
  </si>
  <si>
    <t xml:space="preserve">Finance-Users, Finance-Reports</t>
  </si>
  <si>
    <t xml:space="preserve">Standard</t>
  </si>
  <si>
    <t xml:space="preserve">Month-end close and general ledger reporting.</t>
  </si>
  <si>
    <t xml:space="preserve">Active employee, recent login. Finance-Users and Finance-Reports match their role and business justification. No change.</t>
  </si>
  <si>
    <t xml:space="preserve">U004</t>
  </si>
  <si>
    <t xml:space="preserve">tgreer</t>
  </si>
  <si>
    <t xml:space="preserve">Tomas Greer</t>
  </si>
  <si>
    <t xml:space="preserve">Accounts Payable Specialist</t>
  </si>
  <si>
    <t xml:space="preserve">ERP-Finance, Expense Portal</t>
  </si>
  <si>
    <t xml:space="preserve">Finance-Users, AP-Processors</t>
  </si>
  <si>
    <t xml:space="preserve">Processes vendor invoices and payments.</t>
  </si>
  <si>
    <t xml:space="preserve">Active employee, recent login. Employee handles vendor invoices and payments, so Finance-Users and AP-Processors are necessary for their job. No change.</t>
  </si>
  <si>
    <t xml:space="preserve">U005</t>
  </si>
  <si>
    <t xml:space="preserve">imoreau</t>
  </si>
  <si>
    <t xml:space="preserve">Isabel Moreau</t>
  </si>
  <si>
    <t xml:space="preserve">U006</t>
  </si>
  <si>
    <t xml:space="preserve">hokafor</t>
  </si>
  <si>
    <t xml:space="preserve">Hannah Okafor</t>
  </si>
  <si>
    <t xml:space="preserve">Accounts Receivable Specialist</t>
  </si>
  <si>
    <t xml:space="preserve">ERP-Finance</t>
  </si>
  <si>
    <t xml:space="preserve">Finance-Users, AR-Processors</t>
  </si>
  <si>
    <t xml:space="preserve">Customer billing and collections.</t>
  </si>
  <si>
    <t xml:space="preserve">Active employee, recent login. Employee handles customer billing, so ERP-Finance is necessary for their job. No change.</t>
  </si>
  <si>
    <t xml:space="preserve">U007</t>
  </si>
  <si>
    <t xml:space="preserve">lferrer</t>
  </si>
  <si>
    <t xml:space="preserve">Luis Ferrer</t>
  </si>
  <si>
    <t xml:space="preserve">Financial Analyst</t>
  </si>
  <si>
    <t xml:space="preserve">Forecasting and variance reporting.</t>
  </si>
  <si>
    <t xml:space="preserve">Active employee, recent login. Handles forecasting and variance reporting, so ERP-Finance and Network Share are valid for the role. No change.</t>
  </si>
  <si>
    <t xml:space="preserve">U008</t>
  </si>
  <si>
    <t xml:space="preserve">nfields</t>
  </si>
  <si>
    <t xml:space="preserve">Naomi Fields</t>
  </si>
  <si>
    <t xml:space="preserve">U009</t>
  </si>
  <si>
    <t xml:space="preserve">glindqvist</t>
  </si>
  <si>
    <t xml:space="preserve">Grace Lindqvist</t>
  </si>
  <si>
    <t xml:space="preserve">Payroll Specialist</t>
  </si>
  <si>
    <t xml:space="preserve">ERP-Finance, Payroll</t>
  </si>
  <si>
    <t xml:space="preserve">Finance-Users, Payroll-Processors</t>
  </si>
  <si>
    <t xml:space="preserve">Runs bi-weekly payroll; needs payroll system write access.</t>
  </si>
  <si>
    <t xml:space="preserve">Active employee, recent login. Employee runs payroll, so payroll access is needed to do their work. No change.</t>
  </si>
  <si>
    <t xml:space="preserve">U010</t>
  </si>
  <si>
    <t xml:space="preserve">mtanaka</t>
  </si>
  <si>
    <t xml:space="preserve">Mei Tanaka</t>
  </si>
  <si>
    <t xml:space="preserve">Staff Accountant</t>
  </si>
  <si>
    <t xml:space="preserve">Finance-Users</t>
  </si>
  <si>
    <t xml:space="preserve">General ledger entries and reconciliations.</t>
  </si>
  <si>
    <t xml:space="preserve">Active employee, recent login. Business justification matches their systems and group memberships. No change.</t>
  </si>
  <si>
    <t xml:space="preserve">U011</t>
  </si>
  <si>
    <t xml:space="preserve">rsoto</t>
  </si>
  <si>
    <t xml:space="preserve">Rafael Soto</t>
  </si>
  <si>
    <t xml:space="preserve">Budget Analyst</t>
  </si>
  <si>
    <t xml:space="preserve">Annual budget preparation and tracking.</t>
  </si>
  <si>
    <t xml:space="preserve">U012</t>
  </si>
  <si>
    <t xml:space="preserve">sdelgado</t>
  </si>
  <si>
    <t xml:space="preserve">Sam Delgado</t>
  </si>
  <si>
    <t xml:space="preserve">Accounts Payable Clerk</t>
  </si>
  <si>
    <t xml:space="preserve">ERP-Finance (Admin), Expense Portal, Payroll</t>
  </si>
  <si>
    <t xml:space="preserve">Admin</t>
  </si>
  <si>
    <t xml:space="preserve">Covering for manager during leave (Oct 2024).</t>
  </si>
  <si>
    <t xml:space="preserve">Modify access</t>
  </si>
  <si>
    <t xml:space="preserve">Finance-Managers, Expenses-Approvers, ERP-Finance (Admin), Payroll</t>
  </si>
  <si>
    <t xml:space="preserve">Active employee, recent login. They had admin access to cover for manager during leave back in 2024. No longer needs admin, manager groups, or Payroll access. Keep clerk-level access.</t>
  </si>
  <si>
    <t xml:space="preserve">U013</t>
  </si>
  <si>
    <t xml:space="preserve">dvance</t>
  </si>
  <si>
    <t xml:space="preserve">Derek Vance</t>
  </si>
  <si>
    <t xml:space="preserve">Contract Bookkeeper</t>
  </si>
  <si>
    <t xml:space="preserve">Contractor</t>
  </si>
  <si>
    <t xml:space="preserve">Temporary bookkeeping support during audit season.</t>
  </si>
  <si>
    <t xml:space="preserve">Disable account</t>
  </si>
  <si>
    <t xml:space="preserve">Account access</t>
  </si>
  <si>
    <t xml:space="preserve">Owen Bradshaw, IT Security</t>
  </si>
  <si>
    <t xml:space="preserve">Contractor whose contract ended on 2026-06-30. Last login from 2026-09-12 is after the contract ended. Account needs to be disabled so they can no longer login. Investigate what was accessed since 6/30.</t>
  </si>
  <si>
    <t xml:space="preserve">U014</t>
  </si>
  <si>
    <t xml:space="preserve">hlawson</t>
  </si>
  <si>
    <t xml:space="preserve">Heidi Lawson</t>
  </si>
  <si>
    <t xml:space="preserve">Escalate</t>
  </si>
  <si>
    <t xml:space="preserve">Active employee, but they have not logged in since 2026-02-03. Need to review access with manager to see if employee is still with us. If it is unused, disable the account.</t>
  </si>
  <si>
    <t xml:space="preserve">U015</t>
  </si>
  <si>
    <t xml:space="preserve">emarsh</t>
  </si>
  <si>
    <t xml:space="preserve">Elena Marsh</t>
  </si>
  <si>
    <t xml:space="preserve">HR Director</t>
  </si>
  <si>
    <t xml:space="preserve">HR</t>
  </si>
  <si>
    <t xml:space="preserve">HRIS, Payroll (read), Network Share</t>
  </si>
  <si>
    <t xml:space="preserve">HR-Users, HR-Managers, HRIS-Admins</t>
  </si>
  <si>
    <t xml:space="preserve">Department head; owns HRIS and employee records.</t>
  </si>
  <si>
    <t xml:space="preserve">Active employee, logged in today. HR-Users, HR-Managers, HRIS-Admins match their role as department head, per the business justification. No change.</t>
  </si>
  <si>
    <t xml:space="preserve">U016</t>
  </si>
  <si>
    <t xml:space="preserve">cashby</t>
  </si>
  <si>
    <t xml:space="preserve">Colin Ashby</t>
  </si>
  <si>
    <t xml:space="preserve">HR Manager</t>
  </si>
  <si>
    <t xml:space="preserve">HRIS, Network Share</t>
  </si>
  <si>
    <t xml:space="preserve">HR-Users, HR-Managers</t>
  </si>
  <si>
    <t xml:space="preserve">Manages HR team; approves personnel changes.</t>
  </si>
  <si>
    <t xml:space="preserve">Active employee, logged in 10/25. HR-Users, HR-Managers match their role as HR Manager, per the business justification. No change.</t>
  </si>
  <si>
    <t xml:space="preserve">U017</t>
  </si>
  <si>
    <t xml:space="preserve">bcastellano</t>
  </si>
  <si>
    <t xml:space="preserve">Brian Castellano</t>
  </si>
  <si>
    <t xml:space="preserve">HR Business Partner</t>
  </si>
  <si>
    <t xml:space="preserve">HR-Users</t>
  </si>
  <si>
    <t xml:space="preserve">Advises business units on employee relations.</t>
  </si>
  <si>
    <t xml:space="preserve">Active employee, recent login. HR-Users match their role as HR Business Partner (advises business units on employee relations). No change.</t>
  </si>
  <si>
    <t xml:space="preserve">U018</t>
  </si>
  <si>
    <t xml:space="preserve">areyes</t>
  </si>
  <si>
    <t xml:space="preserve">Alicia Reyes</t>
  </si>
  <si>
    <t xml:space="preserve">Recruiter</t>
  </si>
  <si>
    <t xml:space="preserve">HRIS, ATS</t>
  </si>
  <si>
    <t xml:space="preserve">HR-Users, Recruiting</t>
  </si>
  <si>
    <t xml:space="preserve">Manages open requisitions and candidate pipeline.</t>
  </si>
  <si>
    <t xml:space="preserve">Active employee, recent login. HR-Users, Recruiting match their role as Recruiter (manages open requisitions and candidate pipeline). No change.</t>
  </si>
  <si>
    <t xml:space="preserve">U019</t>
  </si>
  <si>
    <t xml:space="preserve">tnguyen</t>
  </si>
  <si>
    <t xml:space="preserve">Tara Nguyen</t>
  </si>
  <si>
    <t xml:space="preserve">Talent Coordinator</t>
  </si>
  <si>
    <t xml:space="preserve">Schedules interviews and onboards new hires.</t>
  </si>
  <si>
    <t xml:space="preserve">Active employee, recent login. HR-Users, Recruiting match their role as Talent Coordinator (schedules interviews and onboards new hires). No change.</t>
  </si>
  <si>
    <t xml:space="preserve">U020</t>
  </si>
  <si>
    <t xml:space="preserve">kdoyle</t>
  </si>
  <si>
    <t xml:space="preserve">Kevin Doyle</t>
  </si>
  <si>
    <t xml:space="preserve">Benefits Specialist</t>
  </si>
  <si>
    <t xml:space="preserve">HRIS, Benefits Portal</t>
  </si>
  <si>
    <t xml:space="preserve">HR-Users, Benefits</t>
  </si>
  <si>
    <t xml:space="preserve">Administers enrollment and benefits changes.</t>
  </si>
  <si>
    <t xml:space="preserve">Active employee, recent login. HR-Users, Benefits match their role as Benefits Specialist (administers enrollment and benefits changes). No change.</t>
  </si>
  <si>
    <t xml:space="preserve">U021</t>
  </si>
  <si>
    <t xml:space="preserve">salvarez</t>
  </si>
  <si>
    <t xml:space="preserve">Sofia Alvarez</t>
  </si>
  <si>
    <t xml:space="preserve">HR Generalist</t>
  </si>
  <si>
    <t xml:space="preserve">Employee inquiries and records maintenance.</t>
  </si>
  <si>
    <t xml:space="preserve">Active employee, recent login. HR-Users match their role as HR Generalist (employee inquiries and records maintenance). No change.</t>
  </si>
  <si>
    <t xml:space="preserve">U022</t>
  </si>
  <si>
    <t xml:space="preserve">nbarrett</t>
  </si>
  <si>
    <t xml:space="preserve">Noel Barrett</t>
  </si>
  <si>
    <t xml:space="preserve">U023</t>
  </si>
  <si>
    <t xml:space="preserve">mwebb</t>
  </si>
  <si>
    <t xml:space="preserve">Marcus Webb</t>
  </si>
  <si>
    <t xml:space="preserve">HRIS Analyst</t>
  </si>
  <si>
    <t xml:space="preserve">HRIS (Admin), Network Share</t>
  </si>
  <si>
    <t xml:space="preserve">HR-Users, HRIS-Admins</t>
  </si>
  <si>
    <t xml:space="preserve">Configures HRIS workflows and reports.</t>
  </si>
  <si>
    <t xml:space="preserve">Active employee, recent login. HR-Users, HRIS-Admins match their role as HRIS Analyst (configures hris workflows and reports). No change.</t>
  </si>
  <si>
    <t xml:space="preserve">U024</t>
  </si>
  <si>
    <t xml:space="preserve">lbauer</t>
  </si>
  <si>
    <t xml:space="preserve">Lena Bauer</t>
  </si>
  <si>
    <t xml:space="preserve">Training Coordinator</t>
  </si>
  <si>
    <t xml:space="preserve">HRIS, LMS</t>
  </si>
  <si>
    <t xml:space="preserve">Tracks and schedules compliance training.</t>
  </si>
  <si>
    <t xml:space="preserve">Active employee, recent login. HR-Users match their role as Training Coordinator (tracks and schedules compliance training). No change.</t>
  </si>
  <si>
    <t xml:space="preserve">U025</t>
  </si>
  <si>
    <t xml:space="preserve">jellis</t>
  </si>
  <si>
    <t xml:space="preserve">Jordan Ellis</t>
  </si>
  <si>
    <t xml:space="preserve">HR Coordinator (transferred from Finance, Aug 2026)</t>
  </si>
  <si>
    <t xml:space="preserve">HRIS, ERP-Finance, Expense Portal</t>
  </si>
  <si>
    <t xml:space="preserve">HR-Users, Finance-Users, Finance-Reports, Expenses-Approvers</t>
  </si>
  <si>
    <t xml:space="preserve">HR coordination duties; prior Finance Analyst role.</t>
  </si>
  <si>
    <t xml:space="preserve">Finance-Users, Finance-Reports, Expenses-Approvers, ERP-Finance, Expense Portal</t>
  </si>
  <si>
    <t xml:space="preserve">Mover from finance department. No longer needs finance memberships/systems access. Keep HR-Users and HRIS.</t>
  </si>
  <si>
    <t xml:space="preserve">U026</t>
  </si>
  <si>
    <t xml:space="preserve">rcalloway</t>
  </si>
  <si>
    <t xml:space="preserve">Ruth Calloway</t>
  </si>
  <si>
    <t xml:space="preserve">HRIS, Payroll</t>
  </si>
  <si>
    <t xml:space="preserve">HR-Users, Payroll-Processors</t>
  </si>
  <si>
    <t xml:space="preserve">Needed payroll access for a one-time correction.</t>
  </si>
  <si>
    <t xml:space="preserve">Payroll-Processors, Payroll</t>
  </si>
  <si>
    <t xml:space="preserve">Colin Ashby, payroll owner</t>
  </si>
  <si>
    <t xml:space="preserve">HR generalist given payroll access for a one-time correction. That access was temporary and is no longer needed. Remove Payroll-Processors and Payroll. Keep HR-Users and HRIS.</t>
  </si>
  <si>
    <t xml:space="preserve">U027</t>
  </si>
  <si>
    <t xml:space="preserve">wcrane</t>
  </si>
  <si>
    <t xml:space="preserve">Wesley Crane</t>
  </si>
  <si>
    <t xml:space="preserve">Benefits Analyst</t>
  </si>
  <si>
    <t xml:space="preserve">Terminated (2026-08-14)</t>
  </si>
  <si>
    <t xml:space="preserve">Benefits analysis and vendor reporting.</t>
  </si>
  <si>
    <t xml:space="preserve">HR, IT</t>
  </si>
  <si>
    <t xml:space="preserve">Terminated employee since 2026-08-14 but the account is still enabled. Account needs to be disabled and access removed. Review activity since termination and find out why offboarding missed it.</t>
  </si>
  <si>
    <t xml:space="preserve">U028</t>
  </si>
  <si>
    <t xml:space="preserve">gmoreno</t>
  </si>
  <si>
    <t xml:space="preserve">Gabriel Moreno</t>
  </si>
  <si>
    <t xml:space="preserve">IT Director</t>
  </si>
  <si>
    <t xml:space="preserve">IT</t>
  </si>
  <si>
    <t xml:space="preserve">AD Admin Console, Ticketing, SIEM, Network Share</t>
  </si>
  <si>
    <t xml:space="preserve">IT-Users, IT-Managers</t>
  </si>
  <si>
    <t xml:space="preserve">Department head; approves privileged access requests.</t>
  </si>
  <si>
    <t xml:space="preserve">Active employee, recent login. IT-Users, IT-Managers match their role as IT Director (department head; approves privileged access requests). No change.</t>
  </si>
  <si>
    <t xml:space="preserve">U029</t>
  </si>
  <si>
    <t xml:space="preserve">nthompson</t>
  </si>
  <si>
    <t xml:space="preserve">Nia Thompson</t>
  </si>
  <si>
    <t xml:space="preserve">Systems Administrator</t>
  </si>
  <si>
    <t xml:space="preserve">AD Admin Console, Ticketing, Server Console</t>
  </si>
  <si>
    <t xml:space="preserve">IT-Users, IT-Admins, Server-Admins</t>
  </si>
  <si>
    <t xml:space="preserve">Administers servers and Active Directory.</t>
  </si>
  <si>
    <t xml:space="preserve">Active employee, recent login. IT-Users, IT-Admins, Server-Admins match their role as Systems Administrator (administers servers and active directory). No change.</t>
  </si>
  <si>
    <t xml:space="preserve">U030</t>
  </si>
  <si>
    <t xml:space="preserve">cruiz</t>
  </si>
  <si>
    <t xml:space="preserve">Caleb Ruiz</t>
  </si>
  <si>
    <t xml:space="preserve">Network Engineer</t>
  </si>
  <si>
    <t xml:space="preserve">Network Console, Ticketing</t>
  </si>
  <si>
    <t xml:space="preserve">IT-Users, IT-Admins, Network-Ops</t>
  </si>
  <si>
    <t xml:space="preserve">Manages firewalls, switches, and VPN.</t>
  </si>
  <si>
    <t xml:space="preserve">Active employee, recent login. IT-Users, IT-Admins, Network-Ops match their role as Network Engineer (manages firewalls, switches, and vpn). No change.</t>
  </si>
  <si>
    <t xml:space="preserve">U031</t>
  </si>
  <si>
    <t xml:space="preserve">lmarchetti</t>
  </si>
  <si>
    <t xml:space="preserve">Lucia Marchetti</t>
  </si>
  <si>
    <t xml:space="preserve">Database Administrator</t>
  </si>
  <si>
    <t xml:space="preserve">DB Console, Ticketing</t>
  </si>
  <si>
    <t xml:space="preserve">IT-Users, IT-Admins, DB-Admins</t>
  </si>
  <si>
    <t xml:space="preserve">Administers production databases and backups.</t>
  </si>
  <si>
    <t xml:space="preserve">Active employee, recent login. IT-Users, IT-Admins, DB-Admins match their role as Database Administrator (administers production databases and backups). No change.</t>
  </si>
  <si>
    <t xml:space="preserve">U032</t>
  </si>
  <si>
    <t xml:space="preserve">cwhitaker</t>
  </si>
  <si>
    <t xml:space="preserve">Chloe Whitaker</t>
  </si>
  <si>
    <t xml:space="preserve">Cloud Engineer</t>
  </si>
  <si>
    <t xml:space="preserve">Cloud Console, Ticketing</t>
  </si>
  <si>
    <t xml:space="preserve">IT-Users, IT-Admins</t>
  </si>
  <si>
    <t xml:space="preserve">Manages cloud infrastructure and IAM roles.</t>
  </si>
  <si>
    <t xml:space="preserve">Active employee, recent login. IT-Users, IT-Admins match their role as Cloud Engineer (manages cloud infrastructure and iam roles). No change.</t>
  </si>
  <si>
    <t xml:space="preserve">U033</t>
  </si>
  <si>
    <t xml:space="preserve">yhaddad</t>
  </si>
  <si>
    <t xml:space="preserve">Yasmin Haddad</t>
  </si>
  <si>
    <t xml:space="preserve">Security Analyst</t>
  </si>
  <si>
    <t xml:space="preserve">SIEM, Ticketing, AD (read-only)</t>
  </si>
  <si>
    <t xml:space="preserve">IT-Users, SIEM-Readers</t>
  </si>
  <si>
    <t xml:space="preserve">Monitors alerts and investigates incidents.</t>
  </si>
  <si>
    <t xml:space="preserve">Active employee, recent login. IT-Users, SIEM-Readers match their role as Security Analyst (monitors alerts and investigates incidents). No change.</t>
  </si>
  <si>
    <t xml:space="preserve">U034</t>
  </si>
  <si>
    <t xml:space="preserve">jquinn</t>
  </si>
  <si>
    <t xml:space="preserve">Jasper Quinn</t>
  </si>
  <si>
    <t xml:space="preserve">U035</t>
  </si>
  <si>
    <t xml:space="preserve">fgallagher</t>
  </si>
  <si>
    <t xml:space="preserve">Fiona Gallagher</t>
  </si>
  <si>
    <t xml:space="preserve">Help Desk Technician</t>
  </si>
  <si>
    <t xml:space="preserve">Ticketing, AD (password reset)</t>
  </si>
  <si>
    <t xml:space="preserve">IT-Users, IT-Helpdesk</t>
  </si>
  <si>
    <t xml:space="preserve">Resets passwords and unlocks accounts per delegated rights.</t>
  </si>
  <si>
    <t xml:space="preserve">Active employee, recent login. IT-Users, IT-Helpdesk match their role as Help Desk Technician (resets passwords and unlocks accounts per delegated rights). No change.</t>
  </si>
  <si>
    <t xml:space="preserve">U036</t>
  </si>
  <si>
    <t xml:space="preserve">dvolkov</t>
  </si>
  <si>
    <t xml:space="preserve">Dmitri Volkov</t>
  </si>
  <si>
    <t xml:space="preserve">U037</t>
  </si>
  <si>
    <t xml:space="preserve">tbennett</t>
  </si>
  <si>
    <t xml:space="preserve">Theo Bennett</t>
  </si>
  <si>
    <t xml:space="preserve">Desktop Support Specialist</t>
  </si>
  <si>
    <t xml:space="preserve">Ticketing, Endpoint Management</t>
  </si>
  <si>
    <t xml:space="preserve">Imaging and troubleshooting workstations.</t>
  </si>
  <si>
    <t xml:space="preserve">Active employee, recent login. IT-Users, IT-Helpdesk match their role as Desktop Support Specialist (imaging and troubleshooting workstations). No change.</t>
  </si>
  <si>
    <t xml:space="preserve">U038</t>
  </si>
  <si>
    <t xml:space="preserve">rkowalski</t>
  </si>
  <si>
    <t xml:space="preserve">Ryan Kowalski</t>
  </si>
  <si>
    <t xml:space="preserve">IT Support Intern</t>
  </si>
  <si>
    <t xml:space="preserve">Shadows help desk; assists with password resets.</t>
  </si>
  <si>
    <t xml:space="preserve">Active employee, intern shadowing help desk. Password-reset rights are okay for the role but should be limited to standard users and time-limited. Needs manager attestation.</t>
  </si>
  <si>
    <t xml:space="preserve">U039</t>
  </si>
  <si>
    <t xml:space="preserve">ipruitt</t>
  </si>
  <si>
    <t xml:space="preserve">Ian Pruitt</t>
  </si>
  <si>
    <t xml:space="preserve">Ticketing, AD Admin Console</t>
  </si>
  <si>
    <t xml:space="preserve">IT-Users, IT-Helpdesk, Domain Admins</t>
  </si>
  <si>
    <t xml:space="preserve">Needed full AD access for a migration project (2025).</t>
  </si>
  <si>
    <t xml:space="preserve">Remove access</t>
  </si>
  <si>
    <t xml:space="preserve">Domain Admins, AD Admin Console</t>
  </si>
  <si>
    <t xml:space="preserve">Employee needed admin access for project from 2025, no longer needed. Remove Domain Admins and AD Admin Console to avoid risk. Keep IT-Helpdesk.</t>
  </si>
  <si>
    <t xml:space="preserve">U040</t>
  </si>
  <si>
    <t xml:space="preserve">mortega</t>
  </si>
  <si>
    <t xml:space="preserve">Maya Ortega</t>
  </si>
  <si>
    <t xml:space="preserve">Contract Network Consultant</t>
  </si>
  <si>
    <t xml:space="preserve">Network Console, Firewall, AD Admin Console</t>
  </si>
  <si>
    <t xml:space="preserve">Firewall migration project.</t>
  </si>
  <si>
    <t xml:space="preserve">Account access (IT-Admins, Network-Ops, Firewall, AD Admin Console)</t>
  </si>
  <si>
    <t xml:space="preserve">Caleb Ruiz, IT Security</t>
  </si>
  <si>
    <t xml:space="preserve">Contractor whose contract ended on 2026-09-30 but the account is still enabled with admin access. Last login from 2026-10-21 is after the contract ended. Account needs to be disabled so they can no longer login. Review firewall and AD admin activity since 9/30.</t>
  </si>
  <si>
    <t xml:space="preserve">Access Review Summary (updates as you fill in the Decision column)</t>
  </si>
  <si>
    <t xml:space="preserve">Count</t>
  </si>
  <si>
    <t xml:space="preserve">Reviewed so far</t>
  </si>
  <si>
    <t xml:space="preserve">Total users in scope</t>
  </si>
  <si>
    <t xml:space="preserve">Remaining</t>
  </si>
  <si>
    <t xml:space="preserve">Users by department</t>
  </si>
  <si>
    <t xml:space="preserve">Users</t>
  </si>
  <si>
    <t xml:space="preserve">Flagged (not Keep)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</si>
</sst>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3203B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2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3203B"/>
        <bgColor rgb="FF1F3864"/>
      </patternFill>
    </fill>
    <fill>
      <patternFill patternType="solid">
        <fgColor rgb="FF8A5A00"/>
        <bgColor rgb="FF9A5B00"/>
      </patternFill>
    </fill>
    <fill>
      <patternFill patternType="solid">
        <fgColor rgb="FFFFF2CC"/>
        <bgColor rgb="FFFBEFD9"/>
      </patternFill>
    </fill>
    <fill>
      <patternFill patternType="solid">
        <fgColor rgb="FFF4F6FA"/>
        <bgColor rgb="FFFFFFFF"/>
      </patternFill>
    </fill>
    <fill>
      <patternFill patternType="solid">
        <fgColor rgb="FFCDEBD3"/>
        <bgColor rgb="FFE3F4EA"/>
      </patternFill>
    </fill>
    <fill>
      <patternFill patternType="solid">
        <fgColor rgb="FF1F3864"/>
        <bgColor rgb="FF3333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2">
    <dxf>
      <fill>
        <patternFill patternType="solid">
          <fgColor rgb="FF13203B"/>
          <bgColor rgb="FF000000"/>
        </patternFill>
      </fill>
    </dxf>
    <dxf>
      <fill>
        <patternFill patternType="solid">
          <fgColor rgb="FFF4F6F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BEFD9"/>
          <bgColor rgb="FF000000"/>
        </patternFill>
      </fill>
    </dxf>
    <dxf>
      <fill>
        <patternFill patternType="solid">
          <fgColor rgb="FFFDE8DD"/>
          <bgColor rgb="FF000000"/>
        </patternFill>
      </fill>
    </dxf>
    <dxf>
      <fill>
        <patternFill patternType="solid">
          <fgColor rgb="FF9A5B00"/>
          <bgColor rgb="FF000000"/>
        </patternFill>
      </fill>
    </dxf>
    <dxf>
      <fill>
        <patternFill patternType="solid">
          <fgColor rgb="FFC2410C"/>
          <bgColor rgb="FF000000"/>
        </patternFill>
      </fill>
    </dxf>
    <dxf>
      <fill>
        <patternFill patternType="solid">
          <fgColor rgb="FF8A5A00"/>
          <bgColor rgb="FF000000"/>
        </patternFill>
      </fill>
    </dxf>
    <dxf>
      <fill>
        <patternFill patternType="solid">
          <fgColor rgb="FFE3F4EA"/>
          <bgColor rgb="FF000000"/>
        </patternFill>
      </fill>
    </dxf>
    <dxf>
      <fill>
        <patternFill patternType="solid">
          <fgColor rgb="FFECE4F6"/>
          <bgColor rgb="FF000000"/>
        </patternFill>
      </fill>
    </dxf>
    <dxf>
      <fill>
        <patternFill patternType="solid">
          <fgColor rgb="FFFBE1E8"/>
          <bgColor rgb="FF000000"/>
        </patternFill>
      </fill>
    </dxf>
    <dxf>
      <fill>
        <patternFill patternType="solid">
          <fgColor rgb="FF1D7A4B"/>
          <bgColor rgb="FF000000"/>
        </patternFill>
      </fill>
    </dxf>
    <dxf>
      <fill>
        <patternFill patternType="solid">
          <fgColor rgb="FF6B3FA0"/>
          <bgColor rgb="FF000000"/>
        </patternFill>
      </fill>
    </dxf>
    <dxf>
      <fill>
        <patternFill patternType="solid">
          <fgColor rgb="FF9B1239"/>
          <bgColor rgb="FF000000"/>
        </patternFill>
      </fill>
    </dxf>
    <dxf>
      <fill>
        <patternFill patternType="solid">
          <fgColor rgb="FFCDEBD3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ont>
        <name val="Arial"/>
        <charset val="1"/>
        <family val="0"/>
        <b val="1"/>
        <color rgb="FFC2410C"/>
      </font>
      <fill>
        <patternFill>
          <bgColor rgb="FFFDE8DD"/>
        </patternFill>
      </fill>
    </dxf>
    <dxf>
      <font>
        <name val="Arial"/>
        <charset val="1"/>
        <family val="0"/>
        <b val="1"/>
        <color rgb="FF9A5B00"/>
      </font>
      <fill>
        <patternFill>
          <bgColor rgb="FFFBEFD9"/>
        </patternFill>
      </fill>
    </dxf>
    <dxf>
      <font>
        <name val="Arial"/>
        <charset val="1"/>
        <family val="0"/>
        <b val="1"/>
        <color rgb="FF1D7A4B"/>
      </font>
      <fill>
        <patternFill>
          <bgColor rgb="FFE3F4EA"/>
        </patternFill>
      </fill>
    </dxf>
    <dxf>
      <font>
        <name val="Arial"/>
        <charset val="1"/>
        <family val="0"/>
        <b val="1"/>
        <color rgb="FF9B1239"/>
      </font>
      <fill>
        <patternFill>
          <bgColor rgb="FFFBE1E8"/>
        </patternFill>
      </fill>
    </dxf>
    <dxf>
      <font>
        <name val="Arial"/>
        <charset val="1"/>
        <family val="0"/>
        <b val="1"/>
        <color rgb="FF6B3FA0"/>
      </font>
      <fill>
        <patternFill>
          <bgColor rgb="FFECE4F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B1239"/>
      <rgbColor rgb="FF008000"/>
      <rgbColor rgb="FF000080"/>
      <rgbColor rgb="FF8A5A00"/>
      <rgbColor rgb="FF800080"/>
      <rgbColor rgb="FF1D7A4B"/>
      <rgbColor rgb="FFBFBFBF"/>
      <rgbColor rgb="FF808080"/>
      <rgbColor rgb="FF9999FF"/>
      <rgbColor rgb="FF9A5B00"/>
      <rgbColor rgb="FFFFF2CC"/>
      <rgbColor rgb="FFE3F4EA"/>
      <rgbColor rgb="FF660066"/>
      <rgbColor rgb="FFFF8080"/>
      <rgbColor rgb="FF0066CC"/>
      <rgbColor rgb="FFECE4F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4F6FA"/>
      <rgbColor rgb="FFCDEBD3"/>
      <rgbColor rgb="FFFBEFD9"/>
      <rgbColor rgb="FFFDE8DD"/>
      <rgbColor rgb="FFFF99CC"/>
      <rgbColor rgb="FFCC99FF"/>
      <rgbColor rgb="FFFBE1E8"/>
      <rgbColor rgb="FF3366FF"/>
      <rgbColor rgb="FF33CCCC"/>
      <rgbColor rgb="FF99CC00"/>
      <rgbColor rgb="FFFFCC00"/>
      <rgbColor rgb="FFFF9900"/>
      <rgbColor rgb="FFFF6600"/>
      <rgbColor rgb="FF6B3FA0"/>
      <rgbColor rgb="FF969696"/>
      <rgbColor rgb="FF1F3864"/>
      <rgbColor rgb="FF339966"/>
      <rgbColor rgb="FF003300"/>
      <rgbColor rgb="FF333300"/>
      <rgbColor rgb="FFC2410C"/>
      <rgbColor rgb="FF993366"/>
      <rgbColor rgb="FF333399"/>
      <rgbColor rgb="FF1320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A5A00"/>
    <pageSetUpPr fitToPage="false"/>
  </sheetPr>
  <dimension ref="A1:A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0"/>
  </cols>
  <sheetData>
    <row r="1" customFormat="false" ht="1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3" customFormat="false" ht="15" hidden="false" customHeight="true" outlineLevel="0" collapsed="false">
      <c r="A3" s="3"/>
    </row>
    <row r="4" customFormat="false" ht="15" hidden="false" customHeight="true" outlineLevel="0" collapsed="false">
      <c r="A4" s="4" t="s">
        <v>2</v>
      </c>
    </row>
    <row r="5" customFormat="false" ht="15" hidden="false" customHeight="true" outlineLevel="0" collapsed="false">
      <c r="A5" s="3" t="s">
        <v>3</v>
      </c>
    </row>
    <row r="6" customFormat="false" ht="15" hidden="false" customHeight="true" outlineLevel="0" collapsed="false">
      <c r="A6" s="3" t="s">
        <v>4</v>
      </c>
    </row>
    <row r="7" customFormat="false" ht="15" hidden="false" customHeight="true" outlineLevel="0" collapsed="false">
      <c r="A7" s="3" t="s">
        <v>5</v>
      </c>
    </row>
    <row r="8" customFormat="false" ht="15" hidden="false" customHeight="true" outlineLevel="0" collapsed="false">
      <c r="A8" s="3" t="s">
        <v>6</v>
      </c>
    </row>
    <row r="9" customFormat="false" ht="15" hidden="false" customHeight="true" outlineLevel="0" collapsed="false">
      <c r="A9" s="3" t="s">
        <v>7</v>
      </c>
    </row>
    <row r="10" customFormat="false" ht="15" hidden="false" customHeight="true" outlineLevel="0" collapsed="false">
      <c r="A10" s="3"/>
    </row>
    <row r="11" customFormat="false" ht="15" hidden="false" customHeight="true" outlineLevel="0" collapsed="false">
      <c r="A11" s="4" t="s">
        <v>8</v>
      </c>
    </row>
    <row r="12" customFormat="false" ht="15" hidden="false" customHeight="true" outlineLevel="0" collapsed="false">
      <c r="A12" s="3" t="s">
        <v>9</v>
      </c>
    </row>
    <row r="13" customFormat="false" ht="15" hidden="false" customHeight="true" outlineLevel="0" collapsed="false">
      <c r="A13" s="3" t="s">
        <v>10</v>
      </c>
    </row>
    <row r="14" customFormat="false" ht="15" hidden="false" customHeight="true" outlineLevel="0" collapsed="false">
      <c r="A14" s="3" t="s">
        <v>11</v>
      </c>
    </row>
    <row r="15" customFormat="false" ht="15" hidden="false" customHeight="true" outlineLevel="0" collapsed="false">
      <c r="A15" s="3" t="s">
        <v>12</v>
      </c>
    </row>
    <row r="16" customFormat="false" ht="15" hidden="false" customHeight="true" outlineLevel="0" collapsed="false">
      <c r="A16" s="3" t="s">
        <v>13</v>
      </c>
    </row>
    <row r="17" customFormat="false" ht="15" hidden="false" customHeight="true" outlineLevel="0" collapsed="false">
      <c r="A17" s="3" t="s">
        <v>14</v>
      </c>
    </row>
    <row r="18" customFormat="false" ht="15" hidden="false" customHeight="true" outlineLevel="0" collapsed="false">
      <c r="A18" s="3"/>
    </row>
    <row r="19" customFormat="false" ht="15" hidden="false" customHeight="true" outlineLevel="0" collapsed="false">
      <c r="A19" s="4" t="s">
        <v>15</v>
      </c>
    </row>
    <row r="20" customFormat="false" ht="23.25" hidden="false" customHeight="true" outlineLevel="0" collapsed="false">
      <c r="A20" s="3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3203B"/>
    <pageSetUpPr fitToPage="false"/>
  </sheetPr>
  <dimension ref="A1:S41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4"/>
    <col collapsed="false" customWidth="true" hidden="false" outlineLevel="0" max="3" min="3" style="1" width="18"/>
    <col collapsed="false" customWidth="true" hidden="false" outlineLevel="0" max="4" min="4" style="1" width="26"/>
    <col collapsed="false" customWidth="true" hidden="false" outlineLevel="0" max="5" min="5" style="1" width="11"/>
    <col collapsed="false" customWidth="true" hidden="false" outlineLevel="0" max="6" min="6" style="1" width="18"/>
    <col collapsed="false" customWidth="true" hidden="false" outlineLevel="0" max="7" min="7" style="1" width="12"/>
    <col collapsed="false" customWidth="true" hidden="false" outlineLevel="0" max="8" min="8" style="1" width="13"/>
    <col collapsed="false" customWidth="true" hidden="false" outlineLevel="0" max="9" min="9" style="1" width="20"/>
    <col collapsed="false" customWidth="true" hidden="false" outlineLevel="0" max="10" min="10" style="1" width="11"/>
    <col collapsed="false" customWidth="true" hidden="false" outlineLevel="0" max="11" min="11" style="1" width="12"/>
    <col collapsed="false" customWidth="true" hidden="false" outlineLevel="0" max="12" min="12" style="1" width="34"/>
    <col collapsed="false" customWidth="true" hidden="false" outlineLevel="0" max="13" min="13" style="1" width="44"/>
    <col collapsed="false" customWidth="true" hidden="false" outlineLevel="0" max="14" min="14" style="1" width="11"/>
    <col collapsed="false" customWidth="true" hidden="false" outlineLevel="0" max="15" min="15" style="1" width="44"/>
    <col collapsed="false" customWidth="true" hidden="false" outlineLevel="0" max="16" min="16" style="1" width="16"/>
    <col collapsed="false" customWidth="true" hidden="false" outlineLevel="0" max="17" min="17" style="1" width="30"/>
    <col collapsed="false" customWidth="true" hidden="false" outlineLevel="0" max="18" min="18" style="1" width="18"/>
    <col collapsed="false" customWidth="true" hidden="false" outlineLevel="0" max="19" min="19" style="1" width="44"/>
  </cols>
  <sheetData>
    <row r="1" customFormat="false" ht="33.75" hidden="false" customHeight="true" outlineLevel="0" collapsed="false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5" t="s">
        <v>23</v>
      </c>
      <c r="H1" s="5" t="s">
        <v>24</v>
      </c>
      <c r="I1" s="5" t="s">
        <v>25</v>
      </c>
      <c r="J1" s="5" t="s">
        <v>26</v>
      </c>
      <c r="K1" s="5" t="s">
        <v>27</v>
      </c>
      <c r="L1" s="5" t="s">
        <v>28</v>
      </c>
      <c r="M1" s="5" t="s">
        <v>29</v>
      </c>
      <c r="N1" s="5" t="s">
        <v>30</v>
      </c>
      <c r="O1" s="5" t="s">
        <v>31</v>
      </c>
      <c r="P1" s="6" t="s">
        <v>32</v>
      </c>
      <c r="Q1" s="6" t="s">
        <v>33</v>
      </c>
      <c r="R1" s="6" t="s">
        <v>34</v>
      </c>
      <c r="S1" s="6" t="s">
        <v>35</v>
      </c>
    </row>
    <row r="2" customFormat="false" ht="43.5" hidden="false" customHeight="true" outlineLevel="0" collapsed="false">
      <c r="A2" s="7" t="s">
        <v>36</v>
      </c>
      <c r="B2" s="7" t="s">
        <v>37</v>
      </c>
      <c r="C2" s="7" t="s">
        <v>38</v>
      </c>
      <c r="D2" s="7" t="s">
        <v>39</v>
      </c>
      <c r="E2" s="7" t="s">
        <v>40</v>
      </c>
      <c r="F2" s="7" t="s">
        <v>41</v>
      </c>
      <c r="G2" s="7" t="s">
        <v>42</v>
      </c>
      <c r="H2" s="7"/>
      <c r="I2" s="7" t="s">
        <v>43</v>
      </c>
      <c r="J2" s="7" t="s">
        <v>44</v>
      </c>
      <c r="K2" s="8" t="n">
        <v>46321</v>
      </c>
      <c r="L2" s="7" t="s">
        <v>45</v>
      </c>
      <c r="M2" s="7" t="s">
        <v>46</v>
      </c>
      <c r="N2" s="7" t="s">
        <v>47</v>
      </c>
      <c r="O2" s="7" t="s">
        <v>48</v>
      </c>
      <c r="P2" s="9" t="s">
        <v>49</v>
      </c>
      <c r="Q2" s="9"/>
      <c r="R2" s="9"/>
      <c r="S2" s="9" t="s">
        <v>50</v>
      </c>
    </row>
    <row r="3" customFormat="false" ht="43.5" hidden="false" customHeight="true" outlineLevel="0" collapsed="false">
      <c r="A3" s="10" t="s">
        <v>51</v>
      </c>
      <c r="B3" s="10" t="s">
        <v>52</v>
      </c>
      <c r="C3" s="10" t="s">
        <v>53</v>
      </c>
      <c r="D3" s="10" t="s">
        <v>54</v>
      </c>
      <c r="E3" s="10" t="s">
        <v>40</v>
      </c>
      <c r="F3" s="10" t="s">
        <v>38</v>
      </c>
      <c r="G3" s="10" t="s">
        <v>42</v>
      </c>
      <c r="H3" s="10"/>
      <c r="I3" s="10" t="s">
        <v>43</v>
      </c>
      <c r="J3" s="10" t="s">
        <v>44</v>
      </c>
      <c r="K3" s="11" t="n">
        <v>46320</v>
      </c>
      <c r="L3" s="10" t="s">
        <v>45</v>
      </c>
      <c r="M3" s="10" t="s">
        <v>55</v>
      </c>
      <c r="N3" s="10" t="s">
        <v>47</v>
      </c>
      <c r="O3" s="10" t="s">
        <v>56</v>
      </c>
      <c r="P3" s="9" t="s">
        <v>49</v>
      </c>
      <c r="Q3" s="9"/>
      <c r="R3" s="9"/>
      <c r="S3" s="9" t="s">
        <v>57</v>
      </c>
    </row>
    <row r="4" customFormat="false" ht="43.5" hidden="false" customHeight="true" outlineLevel="0" collapsed="false">
      <c r="A4" s="7" t="s">
        <v>58</v>
      </c>
      <c r="B4" s="7" t="s">
        <v>59</v>
      </c>
      <c r="C4" s="7" t="s">
        <v>60</v>
      </c>
      <c r="D4" s="7" t="s">
        <v>61</v>
      </c>
      <c r="E4" s="7" t="s">
        <v>40</v>
      </c>
      <c r="F4" s="7" t="s">
        <v>38</v>
      </c>
      <c r="G4" s="7" t="s">
        <v>42</v>
      </c>
      <c r="H4" s="7"/>
      <c r="I4" s="7" t="s">
        <v>43</v>
      </c>
      <c r="J4" s="7" t="s">
        <v>44</v>
      </c>
      <c r="K4" s="8" t="n">
        <v>46321</v>
      </c>
      <c r="L4" s="7" t="s">
        <v>62</v>
      </c>
      <c r="M4" s="7" t="s">
        <v>63</v>
      </c>
      <c r="N4" s="7" t="s">
        <v>64</v>
      </c>
      <c r="O4" s="7" t="s">
        <v>65</v>
      </c>
      <c r="P4" s="9" t="s">
        <v>49</v>
      </c>
      <c r="Q4" s="9"/>
      <c r="R4" s="9"/>
      <c r="S4" s="12" t="s">
        <v>66</v>
      </c>
    </row>
    <row r="5" customFormat="false" ht="43.5" hidden="false" customHeight="true" outlineLevel="0" collapsed="false">
      <c r="A5" s="10" t="s">
        <v>67</v>
      </c>
      <c r="B5" s="10" t="s">
        <v>68</v>
      </c>
      <c r="C5" s="10" t="s">
        <v>69</v>
      </c>
      <c r="D5" s="10" t="s">
        <v>70</v>
      </c>
      <c r="E5" s="10" t="s">
        <v>40</v>
      </c>
      <c r="F5" s="10" t="s">
        <v>53</v>
      </c>
      <c r="G5" s="10" t="s">
        <v>42</v>
      </c>
      <c r="H5" s="10"/>
      <c r="I5" s="10" t="s">
        <v>43</v>
      </c>
      <c r="J5" s="10" t="s">
        <v>44</v>
      </c>
      <c r="K5" s="11" t="n">
        <v>46318</v>
      </c>
      <c r="L5" s="10" t="s">
        <v>71</v>
      </c>
      <c r="M5" s="10" t="s">
        <v>72</v>
      </c>
      <c r="N5" s="10" t="s">
        <v>64</v>
      </c>
      <c r="O5" s="10" t="s">
        <v>73</v>
      </c>
      <c r="P5" s="9" t="s">
        <v>49</v>
      </c>
      <c r="Q5" s="9"/>
      <c r="R5" s="9"/>
      <c r="S5" s="12" t="s">
        <v>74</v>
      </c>
    </row>
    <row r="6" customFormat="false" ht="43.5" hidden="false" customHeight="true" outlineLevel="0" collapsed="false">
      <c r="A6" s="7" t="s">
        <v>75</v>
      </c>
      <c r="B6" s="7" t="s">
        <v>76</v>
      </c>
      <c r="C6" s="7" t="s">
        <v>77</v>
      </c>
      <c r="D6" s="7" t="s">
        <v>70</v>
      </c>
      <c r="E6" s="7" t="s">
        <v>40</v>
      </c>
      <c r="F6" s="7" t="s">
        <v>53</v>
      </c>
      <c r="G6" s="7" t="s">
        <v>42</v>
      </c>
      <c r="H6" s="7"/>
      <c r="I6" s="7" t="s">
        <v>43</v>
      </c>
      <c r="J6" s="7" t="s">
        <v>44</v>
      </c>
      <c r="K6" s="8" t="n">
        <v>46321</v>
      </c>
      <c r="L6" s="7" t="s">
        <v>71</v>
      </c>
      <c r="M6" s="7" t="s">
        <v>72</v>
      </c>
      <c r="N6" s="7" t="s">
        <v>64</v>
      </c>
      <c r="O6" s="7" t="s">
        <v>73</v>
      </c>
      <c r="P6" s="9" t="s">
        <v>49</v>
      </c>
      <c r="Q6" s="9"/>
      <c r="R6" s="9"/>
      <c r="S6" s="12" t="s">
        <v>74</v>
      </c>
    </row>
    <row r="7" customFormat="false" ht="43.5" hidden="false" customHeight="true" outlineLevel="0" collapsed="false">
      <c r="A7" s="10" t="s">
        <v>78</v>
      </c>
      <c r="B7" s="10" t="s">
        <v>79</v>
      </c>
      <c r="C7" s="10" t="s">
        <v>80</v>
      </c>
      <c r="D7" s="10" t="s">
        <v>81</v>
      </c>
      <c r="E7" s="10" t="s">
        <v>40</v>
      </c>
      <c r="F7" s="10" t="s">
        <v>53</v>
      </c>
      <c r="G7" s="10" t="s">
        <v>42</v>
      </c>
      <c r="H7" s="10"/>
      <c r="I7" s="10" t="s">
        <v>43</v>
      </c>
      <c r="J7" s="10" t="s">
        <v>44</v>
      </c>
      <c r="K7" s="11" t="n">
        <v>46319</v>
      </c>
      <c r="L7" s="10" t="s">
        <v>82</v>
      </c>
      <c r="M7" s="10" t="s">
        <v>83</v>
      </c>
      <c r="N7" s="10" t="s">
        <v>64</v>
      </c>
      <c r="O7" s="10" t="s">
        <v>84</v>
      </c>
      <c r="P7" s="9" t="s">
        <v>49</v>
      </c>
      <c r="Q7" s="9"/>
      <c r="R7" s="9"/>
      <c r="S7" s="12" t="s">
        <v>85</v>
      </c>
    </row>
    <row r="8" customFormat="false" ht="43.5" hidden="false" customHeight="true" outlineLevel="0" collapsed="false">
      <c r="A8" s="7" t="s">
        <v>86</v>
      </c>
      <c r="B8" s="7" t="s">
        <v>87</v>
      </c>
      <c r="C8" s="7" t="s">
        <v>88</v>
      </c>
      <c r="D8" s="7" t="s">
        <v>89</v>
      </c>
      <c r="E8" s="7" t="s">
        <v>40</v>
      </c>
      <c r="F8" s="7" t="s">
        <v>38</v>
      </c>
      <c r="G8" s="7" t="s">
        <v>42</v>
      </c>
      <c r="H8" s="7"/>
      <c r="I8" s="7" t="s">
        <v>43</v>
      </c>
      <c r="J8" s="7" t="s">
        <v>44</v>
      </c>
      <c r="K8" s="8" t="n">
        <v>46317</v>
      </c>
      <c r="L8" s="7" t="s">
        <v>62</v>
      </c>
      <c r="M8" s="7" t="s">
        <v>63</v>
      </c>
      <c r="N8" s="7" t="s">
        <v>64</v>
      </c>
      <c r="O8" s="7" t="s">
        <v>90</v>
      </c>
      <c r="P8" s="9" t="s">
        <v>49</v>
      </c>
      <c r="Q8" s="9"/>
      <c r="R8" s="9"/>
      <c r="S8" s="12" t="s">
        <v>91</v>
      </c>
    </row>
    <row r="9" customFormat="false" ht="43.5" hidden="false" customHeight="true" outlineLevel="0" collapsed="false">
      <c r="A9" s="10" t="s">
        <v>92</v>
      </c>
      <c r="B9" s="10" t="s">
        <v>93</v>
      </c>
      <c r="C9" s="10" t="s">
        <v>94</v>
      </c>
      <c r="D9" s="10" t="s">
        <v>89</v>
      </c>
      <c r="E9" s="10" t="s">
        <v>40</v>
      </c>
      <c r="F9" s="10" t="s">
        <v>38</v>
      </c>
      <c r="G9" s="10" t="s">
        <v>42</v>
      </c>
      <c r="H9" s="10"/>
      <c r="I9" s="10" t="s">
        <v>43</v>
      </c>
      <c r="J9" s="10" t="s">
        <v>44</v>
      </c>
      <c r="K9" s="11" t="n">
        <v>46321</v>
      </c>
      <c r="L9" s="10" t="s">
        <v>62</v>
      </c>
      <c r="M9" s="10" t="s">
        <v>63</v>
      </c>
      <c r="N9" s="10" t="s">
        <v>64</v>
      </c>
      <c r="O9" s="10" t="s">
        <v>90</v>
      </c>
      <c r="P9" s="9" t="s">
        <v>49</v>
      </c>
      <c r="Q9" s="9"/>
      <c r="R9" s="9"/>
      <c r="S9" s="12" t="s">
        <v>91</v>
      </c>
    </row>
    <row r="10" customFormat="false" ht="43.5" hidden="false" customHeight="true" outlineLevel="0" collapsed="false">
      <c r="A10" s="7" t="s">
        <v>95</v>
      </c>
      <c r="B10" s="7" t="s">
        <v>96</v>
      </c>
      <c r="C10" s="7" t="s">
        <v>97</v>
      </c>
      <c r="D10" s="7" t="s">
        <v>98</v>
      </c>
      <c r="E10" s="7" t="s">
        <v>40</v>
      </c>
      <c r="F10" s="7" t="s">
        <v>53</v>
      </c>
      <c r="G10" s="7" t="s">
        <v>42</v>
      </c>
      <c r="H10" s="7"/>
      <c r="I10" s="7" t="s">
        <v>43</v>
      </c>
      <c r="J10" s="7" t="s">
        <v>44</v>
      </c>
      <c r="K10" s="8" t="n">
        <v>46321</v>
      </c>
      <c r="L10" s="7" t="s">
        <v>99</v>
      </c>
      <c r="M10" s="7" t="s">
        <v>100</v>
      </c>
      <c r="N10" s="7" t="s">
        <v>47</v>
      </c>
      <c r="O10" s="7" t="s">
        <v>101</v>
      </c>
      <c r="P10" s="9" t="s">
        <v>49</v>
      </c>
      <c r="Q10" s="9"/>
      <c r="R10" s="9"/>
      <c r="S10" s="12" t="s">
        <v>102</v>
      </c>
    </row>
    <row r="11" customFormat="false" ht="43.5" hidden="false" customHeight="true" outlineLevel="0" collapsed="false">
      <c r="A11" s="10" t="s">
        <v>103</v>
      </c>
      <c r="B11" s="10" t="s">
        <v>104</v>
      </c>
      <c r="C11" s="10" t="s">
        <v>105</v>
      </c>
      <c r="D11" s="10" t="s">
        <v>106</v>
      </c>
      <c r="E11" s="10" t="s">
        <v>40</v>
      </c>
      <c r="F11" s="10" t="s">
        <v>38</v>
      </c>
      <c r="G11" s="10" t="s">
        <v>42</v>
      </c>
      <c r="H11" s="10"/>
      <c r="I11" s="10" t="s">
        <v>43</v>
      </c>
      <c r="J11" s="10" t="s">
        <v>44</v>
      </c>
      <c r="K11" s="11" t="n">
        <v>46316</v>
      </c>
      <c r="L11" s="10" t="s">
        <v>62</v>
      </c>
      <c r="M11" s="10" t="s">
        <v>107</v>
      </c>
      <c r="N11" s="10" t="s">
        <v>64</v>
      </c>
      <c r="O11" s="10" t="s">
        <v>108</v>
      </c>
      <c r="P11" s="9" t="s">
        <v>49</v>
      </c>
      <c r="Q11" s="9"/>
      <c r="R11" s="9"/>
      <c r="S11" s="12" t="s">
        <v>109</v>
      </c>
    </row>
    <row r="12" customFormat="false" ht="43.5" hidden="false" customHeight="true" outlineLevel="0" collapsed="false">
      <c r="A12" s="7" t="s">
        <v>110</v>
      </c>
      <c r="B12" s="7" t="s">
        <v>111</v>
      </c>
      <c r="C12" s="7" t="s">
        <v>112</v>
      </c>
      <c r="D12" s="7" t="s">
        <v>113</v>
      </c>
      <c r="E12" s="7" t="s">
        <v>40</v>
      </c>
      <c r="F12" s="7" t="s">
        <v>38</v>
      </c>
      <c r="G12" s="7" t="s">
        <v>42</v>
      </c>
      <c r="H12" s="7"/>
      <c r="I12" s="7" t="s">
        <v>43</v>
      </c>
      <c r="J12" s="7" t="s">
        <v>44</v>
      </c>
      <c r="K12" s="8" t="n">
        <v>46318</v>
      </c>
      <c r="L12" s="7" t="s">
        <v>62</v>
      </c>
      <c r="M12" s="7" t="s">
        <v>63</v>
      </c>
      <c r="N12" s="7" t="s">
        <v>64</v>
      </c>
      <c r="O12" s="7" t="s">
        <v>114</v>
      </c>
      <c r="P12" s="9" t="s">
        <v>49</v>
      </c>
      <c r="Q12" s="9"/>
      <c r="R12" s="9"/>
      <c r="S12" s="12" t="s">
        <v>109</v>
      </c>
    </row>
    <row r="13" customFormat="false" ht="43.5" hidden="false" customHeight="true" outlineLevel="0" collapsed="false">
      <c r="A13" s="10" t="s">
        <v>115</v>
      </c>
      <c r="B13" s="10" t="s">
        <v>116</v>
      </c>
      <c r="C13" s="10" t="s">
        <v>117</v>
      </c>
      <c r="D13" s="10" t="s">
        <v>118</v>
      </c>
      <c r="E13" s="10" t="s">
        <v>40</v>
      </c>
      <c r="F13" s="10" t="s">
        <v>53</v>
      </c>
      <c r="G13" s="10" t="s">
        <v>42</v>
      </c>
      <c r="H13" s="10"/>
      <c r="I13" s="10" t="s">
        <v>43</v>
      </c>
      <c r="J13" s="10" t="s">
        <v>44</v>
      </c>
      <c r="K13" s="11" t="n">
        <v>46321</v>
      </c>
      <c r="L13" s="10" t="s">
        <v>119</v>
      </c>
      <c r="M13" s="10" t="s">
        <v>55</v>
      </c>
      <c r="N13" s="10" t="s">
        <v>120</v>
      </c>
      <c r="O13" s="10" t="s">
        <v>121</v>
      </c>
      <c r="P13" s="12" t="s">
        <v>122</v>
      </c>
      <c r="Q13" s="12" t="s">
        <v>123</v>
      </c>
      <c r="R13" s="9" t="s">
        <v>53</v>
      </c>
      <c r="S13" s="12" t="s">
        <v>124</v>
      </c>
    </row>
    <row r="14" customFormat="false" ht="43.5" hidden="false" customHeight="true" outlineLevel="0" collapsed="false">
      <c r="A14" s="7" t="s">
        <v>125</v>
      </c>
      <c r="B14" s="7" t="s">
        <v>126</v>
      </c>
      <c r="C14" s="7" t="s">
        <v>127</v>
      </c>
      <c r="D14" s="7" t="s">
        <v>128</v>
      </c>
      <c r="E14" s="7" t="s">
        <v>40</v>
      </c>
      <c r="F14" s="7" t="s">
        <v>53</v>
      </c>
      <c r="G14" s="7" t="s">
        <v>129</v>
      </c>
      <c r="H14" s="8" t="n">
        <v>46203</v>
      </c>
      <c r="I14" s="7" t="s">
        <v>43</v>
      </c>
      <c r="J14" s="7" t="s">
        <v>44</v>
      </c>
      <c r="K14" s="8" t="n">
        <v>46277</v>
      </c>
      <c r="L14" s="7" t="s">
        <v>62</v>
      </c>
      <c r="M14" s="7" t="s">
        <v>72</v>
      </c>
      <c r="N14" s="7" t="s">
        <v>64</v>
      </c>
      <c r="O14" s="7" t="s">
        <v>130</v>
      </c>
      <c r="P14" s="9" t="s">
        <v>131</v>
      </c>
      <c r="Q14" s="9" t="s">
        <v>132</v>
      </c>
      <c r="R14" s="12" t="s">
        <v>133</v>
      </c>
      <c r="S14" s="12" t="s">
        <v>134</v>
      </c>
    </row>
    <row r="15" customFormat="false" ht="43.5" hidden="false" customHeight="true" outlineLevel="0" collapsed="false">
      <c r="A15" s="10" t="s">
        <v>135</v>
      </c>
      <c r="B15" s="10" t="s">
        <v>136</v>
      </c>
      <c r="C15" s="10" t="s">
        <v>137</v>
      </c>
      <c r="D15" s="10" t="s">
        <v>89</v>
      </c>
      <c r="E15" s="10" t="s">
        <v>40</v>
      </c>
      <c r="F15" s="10" t="s">
        <v>38</v>
      </c>
      <c r="G15" s="10" t="s">
        <v>42</v>
      </c>
      <c r="H15" s="10"/>
      <c r="I15" s="10" t="s">
        <v>43</v>
      </c>
      <c r="J15" s="10" t="s">
        <v>44</v>
      </c>
      <c r="K15" s="11" t="n">
        <v>46056</v>
      </c>
      <c r="L15" s="10" t="s">
        <v>62</v>
      </c>
      <c r="M15" s="10" t="s">
        <v>63</v>
      </c>
      <c r="N15" s="10" t="s">
        <v>64</v>
      </c>
      <c r="O15" s="10" t="s">
        <v>90</v>
      </c>
      <c r="P15" s="9" t="s">
        <v>138</v>
      </c>
      <c r="Q15" s="9" t="s">
        <v>132</v>
      </c>
      <c r="R15" s="9" t="s">
        <v>38</v>
      </c>
      <c r="S15" s="12" t="s">
        <v>139</v>
      </c>
    </row>
    <row r="16" customFormat="false" ht="43.5" hidden="false" customHeight="true" outlineLevel="0" collapsed="false">
      <c r="A16" s="7" t="s">
        <v>140</v>
      </c>
      <c r="B16" s="7" t="s">
        <v>141</v>
      </c>
      <c r="C16" s="7" t="s">
        <v>142</v>
      </c>
      <c r="D16" s="7" t="s">
        <v>143</v>
      </c>
      <c r="E16" s="7" t="s">
        <v>144</v>
      </c>
      <c r="F16" s="7" t="s">
        <v>41</v>
      </c>
      <c r="G16" s="7" t="s">
        <v>42</v>
      </c>
      <c r="H16" s="7"/>
      <c r="I16" s="7" t="s">
        <v>43</v>
      </c>
      <c r="J16" s="7" t="s">
        <v>44</v>
      </c>
      <c r="K16" s="8" t="n">
        <v>46321</v>
      </c>
      <c r="L16" s="7" t="s">
        <v>145</v>
      </c>
      <c r="M16" s="7" t="s">
        <v>146</v>
      </c>
      <c r="N16" s="7" t="s">
        <v>47</v>
      </c>
      <c r="O16" s="7" t="s">
        <v>147</v>
      </c>
      <c r="P16" s="9" t="s">
        <v>49</v>
      </c>
      <c r="Q16" s="9"/>
      <c r="R16" s="9"/>
      <c r="S16" s="9" t="s">
        <v>148</v>
      </c>
    </row>
    <row r="17" customFormat="false" ht="43.5" hidden="false" customHeight="true" outlineLevel="0" collapsed="false">
      <c r="A17" s="10" t="s">
        <v>149</v>
      </c>
      <c r="B17" s="10" t="s">
        <v>150</v>
      </c>
      <c r="C17" s="10" t="s">
        <v>151</v>
      </c>
      <c r="D17" s="10" t="s">
        <v>152</v>
      </c>
      <c r="E17" s="10" t="s">
        <v>144</v>
      </c>
      <c r="F17" s="10" t="s">
        <v>142</v>
      </c>
      <c r="G17" s="10" t="s">
        <v>42</v>
      </c>
      <c r="H17" s="10"/>
      <c r="I17" s="10" t="s">
        <v>43</v>
      </c>
      <c r="J17" s="10" t="s">
        <v>44</v>
      </c>
      <c r="K17" s="11" t="n">
        <v>46320</v>
      </c>
      <c r="L17" s="10" t="s">
        <v>153</v>
      </c>
      <c r="M17" s="10" t="s">
        <v>154</v>
      </c>
      <c r="N17" s="10" t="s">
        <v>47</v>
      </c>
      <c r="O17" s="10" t="s">
        <v>155</v>
      </c>
      <c r="P17" s="9" t="s">
        <v>49</v>
      </c>
      <c r="Q17" s="9"/>
      <c r="R17" s="9"/>
      <c r="S17" s="12" t="s">
        <v>156</v>
      </c>
    </row>
    <row r="18" customFormat="false" ht="43.5" hidden="false" customHeight="true" outlineLevel="0" collapsed="false">
      <c r="A18" s="7" t="s">
        <v>157</v>
      </c>
      <c r="B18" s="7" t="s">
        <v>158</v>
      </c>
      <c r="C18" s="7" t="s">
        <v>159</v>
      </c>
      <c r="D18" s="7" t="s">
        <v>160</v>
      </c>
      <c r="E18" s="7" t="s">
        <v>144</v>
      </c>
      <c r="F18" s="7" t="s">
        <v>142</v>
      </c>
      <c r="G18" s="7" t="s">
        <v>42</v>
      </c>
      <c r="H18" s="7"/>
      <c r="I18" s="7" t="s">
        <v>43</v>
      </c>
      <c r="J18" s="7" t="s">
        <v>44</v>
      </c>
      <c r="K18" s="8" t="n">
        <v>46321</v>
      </c>
      <c r="L18" s="7" t="s">
        <v>153</v>
      </c>
      <c r="M18" s="7" t="s">
        <v>161</v>
      </c>
      <c r="N18" s="7" t="s">
        <v>64</v>
      </c>
      <c r="O18" s="7" t="s">
        <v>162</v>
      </c>
      <c r="P18" s="9" t="s">
        <v>49</v>
      </c>
      <c r="Q18" s="9"/>
      <c r="R18" s="9"/>
      <c r="S18" s="12" t="s">
        <v>163</v>
      </c>
    </row>
    <row r="19" customFormat="false" ht="43.5" hidden="false" customHeight="true" outlineLevel="0" collapsed="false">
      <c r="A19" s="10" t="s">
        <v>164</v>
      </c>
      <c r="B19" s="10" t="s">
        <v>165</v>
      </c>
      <c r="C19" s="10" t="s">
        <v>166</v>
      </c>
      <c r="D19" s="10" t="s">
        <v>167</v>
      </c>
      <c r="E19" s="10" t="s">
        <v>144</v>
      </c>
      <c r="F19" s="10" t="s">
        <v>151</v>
      </c>
      <c r="G19" s="10" t="s">
        <v>42</v>
      </c>
      <c r="H19" s="10"/>
      <c r="I19" s="10" t="s">
        <v>43</v>
      </c>
      <c r="J19" s="10" t="s">
        <v>44</v>
      </c>
      <c r="K19" s="11" t="n">
        <v>46318</v>
      </c>
      <c r="L19" s="10" t="s">
        <v>168</v>
      </c>
      <c r="M19" s="10" t="s">
        <v>169</v>
      </c>
      <c r="N19" s="10" t="s">
        <v>64</v>
      </c>
      <c r="O19" s="10" t="s">
        <v>170</v>
      </c>
      <c r="P19" s="9" t="s">
        <v>49</v>
      </c>
      <c r="Q19" s="9"/>
      <c r="R19" s="9"/>
      <c r="S19" s="12" t="s">
        <v>171</v>
      </c>
    </row>
    <row r="20" customFormat="false" ht="43.5" hidden="false" customHeight="true" outlineLevel="0" collapsed="false">
      <c r="A20" s="7" t="s">
        <v>172</v>
      </c>
      <c r="B20" s="7" t="s">
        <v>173</v>
      </c>
      <c r="C20" s="7" t="s">
        <v>174</v>
      </c>
      <c r="D20" s="7" t="s">
        <v>175</v>
      </c>
      <c r="E20" s="7" t="s">
        <v>144</v>
      </c>
      <c r="F20" s="7" t="s">
        <v>151</v>
      </c>
      <c r="G20" s="7" t="s">
        <v>42</v>
      </c>
      <c r="H20" s="7"/>
      <c r="I20" s="7" t="s">
        <v>43</v>
      </c>
      <c r="J20" s="7" t="s">
        <v>44</v>
      </c>
      <c r="K20" s="8" t="n">
        <v>46321</v>
      </c>
      <c r="L20" s="7" t="s">
        <v>168</v>
      </c>
      <c r="M20" s="7" t="s">
        <v>169</v>
      </c>
      <c r="N20" s="7" t="s">
        <v>64</v>
      </c>
      <c r="O20" s="7" t="s">
        <v>176</v>
      </c>
      <c r="P20" s="9" t="s">
        <v>49</v>
      </c>
      <c r="Q20" s="9"/>
      <c r="R20" s="9"/>
      <c r="S20" s="12" t="s">
        <v>177</v>
      </c>
    </row>
    <row r="21" customFormat="false" ht="43.5" hidden="false" customHeight="true" outlineLevel="0" collapsed="false">
      <c r="A21" s="10" t="s">
        <v>178</v>
      </c>
      <c r="B21" s="10" t="s">
        <v>179</v>
      </c>
      <c r="C21" s="10" t="s">
        <v>180</v>
      </c>
      <c r="D21" s="10" t="s">
        <v>181</v>
      </c>
      <c r="E21" s="10" t="s">
        <v>144</v>
      </c>
      <c r="F21" s="10" t="s">
        <v>151</v>
      </c>
      <c r="G21" s="10" t="s">
        <v>42</v>
      </c>
      <c r="H21" s="10"/>
      <c r="I21" s="10" t="s">
        <v>43</v>
      </c>
      <c r="J21" s="10" t="s">
        <v>44</v>
      </c>
      <c r="K21" s="11" t="n">
        <v>46317</v>
      </c>
      <c r="L21" s="10" t="s">
        <v>182</v>
      </c>
      <c r="M21" s="10" t="s">
        <v>183</v>
      </c>
      <c r="N21" s="10" t="s">
        <v>64</v>
      </c>
      <c r="O21" s="10" t="s">
        <v>184</v>
      </c>
      <c r="P21" s="9" t="s">
        <v>49</v>
      </c>
      <c r="Q21" s="9"/>
      <c r="R21" s="9"/>
      <c r="S21" s="12" t="s">
        <v>185</v>
      </c>
    </row>
    <row r="22" customFormat="false" ht="43.5" hidden="false" customHeight="true" outlineLevel="0" collapsed="false">
      <c r="A22" s="7" t="s">
        <v>186</v>
      </c>
      <c r="B22" s="7" t="s">
        <v>187</v>
      </c>
      <c r="C22" s="7" t="s">
        <v>188</v>
      </c>
      <c r="D22" s="7" t="s">
        <v>189</v>
      </c>
      <c r="E22" s="7" t="s">
        <v>144</v>
      </c>
      <c r="F22" s="7" t="s">
        <v>151</v>
      </c>
      <c r="G22" s="7" t="s">
        <v>42</v>
      </c>
      <c r="H22" s="7"/>
      <c r="I22" s="7" t="s">
        <v>43</v>
      </c>
      <c r="J22" s="7" t="s">
        <v>44</v>
      </c>
      <c r="K22" s="8" t="n">
        <v>46321</v>
      </c>
      <c r="L22" s="7" t="s">
        <v>153</v>
      </c>
      <c r="M22" s="7" t="s">
        <v>161</v>
      </c>
      <c r="N22" s="7" t="s">
        <v>64</v>
      </c>
      <c r="O22" s="7" t="s">
        <v>190</v>
      </c>
      <c r="P22" s="9" t="s">
        <v>49</v>
      </c>
      <c r="Q22" s="9"/>
      <c r="R22" s="9"/>
      <c r="S22" s="12" t="s">
        <v>191</v>
      </c>
    </row>
    <row r="23" customFormat="false" ht="43.5" hidden="false" customHeight="true" outlineLevel="0" collapsed="false">
      <c r="A23" s="10" t="s">
        <v>192</v>
      </c>
      <c r="B23" s="10" t="s">
        <v>193</v>
      </c>
      <c r="C23" s="10" t="s">
        <v>194</v>
      </c>
      <c r="D23" s="10" t="s">
        <v>189</v>
      </c>
      <c r="E23" s="10" t="s">
        <v>144</v>
      </c>
      <c r="F23" s="10" t="s">
        <v>151</v>
      </c>
      <c r="G23" s="10" t="s">
        <v>42</v>
      </c>
      <c r="H23" s="10"/>
      <c r="I23" s="10" t="s">
        <v>43</v>
      </c>
      <c r="J23" s="10" t="s">
        <v>44</v>
      </c>
      <c r="K23" s="11" t="n">
        <v>46319</v>
      </c>
      <c r="L23" s="10" t="s">
        <v>153</v>
      </c>
      <c r="M23" s="10" t="s">
        <v>161</v>
      </c>
      <c r="N23" s="10" t="s">
        <v>64</v>
      </c>
      <c r="O23" s="10" t="s">
        <v>190</v>
      </c>
      <c r="P23" s="9" t="s">
        <v>49</v>
      </c>
      <c r="Q23" s="9"/>
      <c r="R23" s="9"/>
      <c r="S23" s="12" t="s">
        <v>191</v>
      </c>
    </row>
    <row r="24" customFormat="false" ht="43.5" hidden="false" customHeight="true" outlineLevel="0" collapsed="false">
      <c r="A24" s="7" t="s">
        <v>195</v>
      </c>
      <c r="B24" s="7" t="s">
        <v>196</v>
      </c>
      <c r="C24" s="7" t="s">
        <v>197</v>
      </c>
      <c r="D24" s="7" t="s">
        <v>198</v>
      </c>
      <c r="E24" s="7" t="s">
        <v>144</v>
      </c>
      <c r="F24" s="7" t="s">
        <v>142</v>
      </c>
      <c r="G24" s="7" t="s">
        <v>42</v>
      </c>
      <c r="H24" s="7"/>
      <c r="I24" s="7" t="s">
        <v>43</v>
      </c>
      <c r="J24" s="7" t="s">
        <v>44</v>
      </c>
      <c r="K24" s="8" t="n">
        <v>46321</v>
      </c>
      <c r="L24" s="7" t="s">
        <v>199</v>
      </c>
      <c r="M24" s="7" t="s">
        <v>200</v>
      </c>
      <c r="N24" s="7" t="s">
        <v>47</v>
      </c>
      <c r="O24" s="7" t="s">
        <v>201</v>
      </c>
      <c r="P24" s="9" t="s">
        <v>49</v>
      </c>
      <c r="Q24" s="9"/>
      <c r="R24" s="9"/>
      <c r="S24" s="12" t="s">
        <v>202</v>
      </c>
    </row>
    <row r="25" customFormat="false" ht="43.5" hidden="false" customHeight="true" outlineLevel="0" collapsed="false">
      <c r="A25" s="10" t="s">
        <v>203</v>
      </c>
      <c r="B25" s="10" t="s">
        <v>204</v>
      </c>
      <c r="C25" s="10" t="s">
        <v>205</v>
      </c>
      <c r="D25" s="10" t="s">
        <v>206</v>
      </c>
      <c r="E25" s="10" t="s">
        <v>144</v>
      </c>
      <c r="F25" s="10" t="s">
        <v>151</v>
      </c>
      <c r="G25" s="10" t="s">
        <v>42</v>
      </c>
      <c r="H25" s="10"/>
      <c r="I25" s="10" t="s">
        <v>43</v>
      </c>
      <c r="J25" s="10" t="s">
        <v>44</v>
      </c>
      <c r="K25" s="11" t="n">
        <v>46315</v>
      </c>
      <c r="L25" s="10" t="s">
        <v>207</v>
      </c>
      <c r="M25" s="10" t="s">
        <v>161</v>
      </c>
      <c r="N25" s="10" t="s">
        <v>64</v>
      </c>
      <c r="O25" s="10" t="s">
        <v>208</v>
      </c>
      <c r="P25" s="9" t="s">
        <v>49</v>
      </c>
      <c r="Q25" s="9"/>
      <c r="R25" s="9"/>
      <c r="S25" s="12" t="s">
        <v>209</v>
      </c>
    </row>
    <row r="26" customFormat="false" ht="43.5" hidden="false" customHeight="true" outlineLevel="0" collapsed="false">
      <c r="A26" s="7" t="s">
        <v>210</v>
      </c>
      <c r="B26" s="7" t="s">
        <v>211</v>
      </c>
      <c r="C26" s="7" t="s">
        <v>212</v>
      </c>
      <c r="D26" s="7" t="s">
        <v>213</v>
      </c>
      <c r="E26" s="7" t="s">
        <v>144</v>
      </c>
      <c r="F26" s="7" t="s">
        <v>151</v>
      </c>
      <c r="G26" s="7" t="s">
        <v>42</v>
      </c>
      <c r="H26" s="7"/>
      <c r="I26" s="7" t="s">
        <v>43</v>
      </c>
      <c r="J26" s="7" t="s">
        <v>44</v>
      </c>
      <c r="K26" s="8" t="n">
        <v>46321</v>
      </c>
      <c r="L26" s="7" t="s">
        <v>214</v>
      </c>
      <c r="M26" s="7" t="s">
        <v>215</v>
      </c>
      <c r="N26" s="7" t="s">
        <v>47</v>
      </c>
      <c r="O26" s="7" t="s">
        <v>216</v>
      </c>
      <c r="P26" s="9" t="s">
        <v>122</v>
      </c>
      <c r="Q26" s="12" t="s">
        <v>217</v>
      </c>
      <c r="R26" s="9" t="s">
        <v>151</v>
      </c>
      <c r="S26" s="12" t="s">
        <v>218</v>
      </c>
    </row>
    <row r="27" customFormat="false" ht="43.5" hidden="false" customHeight="true" outlineLevel="0" collapsed="false">
      <c r="A27" s="10" t="s">
        <v>219</v>
      </c>
      <c r="B27" s="10" t="s">
        <v>220</v>
      </c>
      <c r="C27" s="10" t="s">
        <v>221</v>
      </c>
      <c r="D27" s="10" t="s">
        <v>189</v>
      </c>
      <c r="E27" s="10" t="s">
        <v>144</v>
      </c>
      <c r="F27" s="10" t="s">
        <v>151</v>
      </c>
      <c r="G27" s="10" t="s">
        <v>42</v>
      </c>
      <c r="H27" s="10"/>
      <c r="I27" s="10" t="s">
        <v>43</v>
      </c>
      <c r="J27" s="10" t="s">
        <v>44</v>
      </c>
      <c r="K27" s="11" t="n">
        <v>46320</v>
      </c>
      <c r="L27" s="10" t="s">
        <v>222</v>
      </c>
      <c r="M27" s="10" t="s">
        <v>223</v>
      </c>
      <c r="N27" s="10" t="s">
        <v>47</v>
      </c>
      <c r="O27" s="10" t="s">
        <v>224</v>
      </c>
      <c r="P27" s="12" t="s">
        <v>122</v>
      </c>
      <c r="Q27" s="12" t="s">
        <v>225</v>
      </c>
      <c r="R27" s="12" t="s">
        <v>226</v>
      </c>
      <c r="S27" s="12" t="s">
        <v>227</v>
      </c>
    </row>
    <row r="28" customFormat="false" ht="43.5" hidden="false" customHeight="true" outlineLevel="0" collapsed="false">
      <c r="A28" s="7" t="s">
        <v>228</v>
      </c>
      <c r="B28" s="7" t="s">
        <v>229</v>
      </c>
      <c r="C28" s="7" t="s">
        <v>230</v>
      </c>
      <c r="D28" s="7" t="s">
        <v>231</v>
      </c>
      <c r="E28" s="7" t="s">
        <v>144</v>
      </c>
      <c r="F28" s="7" t="s">
        <v>151</v>
      </c>
      <c r="G28" s="7" t="s">
        <v>42</v>
      </c>
      <c r="H28" s="7"/>
      <c r="I28" s="7" t="s">
        <v>232</v>
      </c>
      <c r="J28" s="7" t="s">
        <v>44</v>
      </c>
      <c r="K28" s="8" t="n">
        <v>46248</v>
      </c>
      <c r="L28" s="7" t="s">
        <v>182</v>
      </c>
      <c r="M28" s="7" t="s">
        <v>183</v>
      </c>
      <c r="N28" s="7" t="s">
        <v>64</v>
      </c>
      <c r="O28" s="7" t="s">
        <v>233</v>
      </c>
      <c r="P28" s="9" t="s">
        <v>131</v>
      </c>
      <c r="Q28" s="12" t="s">
        <v>132</v>
      </c>
      <c r="R28" s="12" t="s">
        <v>234</v>
      </c>
      <c r="S28" s="12" t="s">
        <v>235</v>
      </c>
    </row>
    <row r="29" customFormat="false" ht="43.5" hidden="false" customHeight="true" outlineLevel="0" collapsed="false">
      <c r="A29" s="10" t="s">
        <v>236</v>
      </c>
      <c r="B29" s="10" t="s">
        <v>237</v>
      </c>
      <c r="C29" s="10" t="s">
        <v>238</v>
      </c>
      <c r="D29" s="10" t="s">
        <v>239</v>
      </c>
      <c r="E29" s="10" t="s">
        <v>240</v>
      </c>
      <c r="F29" s="10" t="s">
        <v>41</v>
      </c>
      <c r="G29" s="10" t="s">
        <v>42</v>
      </c>
      <c r="H29" s="10"/>
      <c r="I29" s="10" t="s">
        <v>43</v>
      </c>
      <c r="J29" s="10" t="s">
        <v>44</v>
      </c>
      <c r="K29" s="11" t="n">
        <v>46321</v>
      </c>
      <c r="L29" s="10" t="s">
        <v>241</v>
      </c>
      <c r="M29" s="10" t="s">
        <v>242</v>
      </c>
      <c r="N29" s="10" t="s">
        <v>47</v>
      </c>
      <c r="O29" s="10" t="s">
        <v>243</v>
      </c>
      <c r="P29" s="9" t="s">
        <v>49</v>
      </c>
      <c r="Q29" s="9"/>
      <c r="R29" s="9"/>
      <c r="S29" s="12" t="s">
        <v>244</v>
      </c>
    </row>
    <row r="30" customFormat="false" ht="43.5" hidden="false" customHeight="true" outlineLevel="0" collapsed="false">
      <c r="A30" s="7" t="s">
        <v>245</v>
      </c>
      <c r="B30" s="7" t="s">
        <v>246</v>
      </c>
      <c r="C30" s="7" t="s">
        <v>247</v>
      </c>
      <c r="D30" s="7" t="s">
        <v>248</v>
      </c>
      <c r="E30" s="7" t="s">
        <v>240</v>
      </c>
      <c r="F30" s="7" t="s">
        <v>238</v>
      </c>
      <c r="G30" s="7" t="s">
        <v>42</v>
      </c>
      <c r="H30" s="7"/>
      <c r="I30" s="7" t="s">
        <v>43</v>
      </c>
      <c r="J30" s="7" t="s">
        <v>44</v>
      </c>
      <c r="K30" s="8" t="n">
        <v>46321</v>
      </c>
      <c r="L30" s="7" t="s">
        <v>249</v>
      </c>
      <c r="M30" s="7" t="s">
        <v>250</v>
      </c>
      <c r="N30" s="7" t="s">
        <v>120</v>
      </c>
      <c r="O30" s="7" t="s">
        <v>251</v>
      </c>
      <c r="P30" s="9" t="s">
        <v>49</v>
      </c>
      <c r="Q30" s="9"/>
      <c r="R30" s="9"/>
      <c r="S30" s="12" t="s">
        <v>252</v>
      </c>
    </row>
    <row r="31" customFormat="false" ht="43.5" hidden="false" customHeight="true" outlineLevel="0" collapsed="false">
      <c r="A31" s="10" t="s">
        <v>253</v>
      </c>
      <c r="B31" s="10" t="s">
        <v>254</v>
      </c>
      <c r="C31" s="10" t="s">
        <v>255</v>
      </c>
      <c r="D31" s="10" t="s">
        <v>256</v>
      </c>
      <c r="E31" s="10" t="s">
        <v>240</v>
      </c>
      <c r="F31" s="10" t="s">
        <v>238</v>
      </c>
      <c r="G31" s="10" t="s">
        <v>42</v>
      </c>
      <c r="H31" s="10"/>
      <c r="I31" s="10" t="s">
        <v>43</v>
      </c>
      <c r="J31" s="10" t="s">
        <v>44</v>
      </c>
      <c r="K31" s="11" t="n">
        <v>46320</v>
      </c>
      <c r="L31" s="10" t="s">
        <v>257</v>
      </c>
      <c r="M31" s="10" t="s">
        <v>258</v>
      </c>
      <c r="N31" s="10" t="s">
        <v>120</v>
      </c>
      <c r="O31" s="10" t="s">
        <v>259</v>
      </c>
      <c r="P31" s="9" t="s">
        <v>49</v>
      </c>
      <c r="Q31" s="9"/>
      <c r="R31" s="9"/>
      <c r="S31" s="12" t="s">
        <v>260</v>
      </c>
    </row>
    <row r="32" customFormat="false" ht="43.5" hidden="false" customHeight="true" outlineLevel="0" collapsed="false">
      <c r="A32" s="7" t="s">
        <v>261</v>
      </c>
      <c r="B32" s="7" t="s">
        <v>262</v>
      </c>
      <c r="C32" s="7" t="s">
        <v>263</v>
      </c>
      <c r="D32" s="7" t="s">
        <v>264</v>
      </c>
      <c r="E32" s="7" t="s">
        <v>240</v>
      </c>
      <c r="F32" s="7" t="s">
        <v>238</v>
      </c>
      <c r="G32" s="7" t="s">
        <v>42</v>
      </c>
      <c r="H32" s="7"/>
      <c r="I32" s="7" t="s">
        <v>43</v>
      </c>
      <c r="J32" s="7" t="s">
        <v>44</v>
      </c>
      <c r="K32" s="8" t="n">
        <v>46321</v>
      </c>
      <c r="L32" s="7" t="s">
        <v>265</v>
      </c>
      <c r="M32" s="7" t="s">
        <v>266</v>
      </c>
      <c r="N32" s="7" t="s">
        <v>120</v>
      </c>
      <c r="O32" s="7" t="s">
        <v>267</v>
      </c>
      <c r="P32" s="9" t="s">
        <v>49</v>
      </c>
      <c r="Q32" s="9"/>
      <c r="R32" s="9"/>
      <c r="S32" s="12" t="s">
        <v>268</v>
      </c>
    </row>
    <row r="33" customFormat="false" ht="43.5" hidden="false" customHeight="true" outlineLevel="0" collapsed="false">
      <c r="A33" s="10" t="s">
        <v>269</v>
      </c>
      <c r="B33" s="10" t="s">
        <v>270</v>
      </c>
      <c r="C33" s="10" t="s">
        <v>271</v>
      </c>
      <c r="D33" s="10" t="s">
        <v>272</v>
      </c>
      <c r="E33" s="10" t="s">
        <v>240</v>
      </c>
      <c r="F33" s="10" t="s">
        <v>238</v>
      </c>
      <c r="G33" s="10" t="s">
        <v>42</v>
      </c>
      <c r="H33" s="10"/>
      <c r="I33" s="10" t="s">
        <v>43</v>
      </c>
      <c r="J33" s="10" t="s">
        <v>44</v>
      </c>
      <c r="K33" s="11" t="n">
        <v>46319</v>
      </c>
      <c r="L33" s="10" t="s">
        <v>273</v>
      </c>
      <c r="M33" s="10" t="s">
        <v>274</v>
      </c>
      <c r="N33" s="10" t="s">
        <v>120</v>
      </c>
      <c r="O33" s="10" t="s">
        <v>275</v>
      </c>
      <c r="P33" s="9" t="s">
        <v>49</v>
      </c>
      <c r="Q33" s="9"/>
      <c r="R33" s="9"/>
      <c r="S33" s="12" t="s">
        <v>276</v>
      </c>
    </row>
    <row r="34" customFormat="false" ht="43.5" hidden="false" customHeight="true" outlineLevel="0" collapsed="false">
      <c r="A34" s="7" t="s">
        <v>277</v>
      </c>
      <c r="B34" s="7" t="s">
        <v>278</v>
      </c>
      <c r="C34" s="7" t="s">
        <v>279</v>
      </c>
      <c r="D34" s="7" t="s">
        <v>280</v>
      </c>
      <c r="E34" s="7" t="s">
        <v>240</v>
      </c>
      <c r="F34" s="7" t="s">
        <v>238</v>
      </c>
      <c r="G34" s="7" t="s">
        <v>42</v>
      </c>
      <c r="H34" s="7"/>
      <c r="I34" s="7" t="s">
        <v>43</v>
      </c>
      <c r="J34" s="7" t="s">
        <v>44</v>
      </c>
      <c r="K34" s="8" t="n">
        <v>46321</v>
      </c>
      <c r="L34" s="7" t="s">
        <v>281</v>
      </c>
      <c r="M34" s="7" t="s">
        <v>282</v>
      </c>
      <c r="N34" s="7" t="s">
        <v>47</v>
      </c>
      <c r="O34" s="7" t="s">
        <v>283</v>
      </c>
      <c r="P34" s="9" t="s">
        <v>49</v>
      </c>
      <c r="Q34" s="9"/>
      <c r="R34" s="9"/>
      <c r="S34" s="12" t="s">
        <v>284</v>
      </c>
    </row>
    <row r="35" customFormat="false" ht="43.5" hidden="false" customHeight="true" outlineLevel="0" collapsed="false">
      <c r="A35" s="10" t="s">
        <v>285</v>
      </c>
      <c r="B35" s="10" t="s">
        <v>286</v>
      </c>
      <c r="C35" s="10" t="s">
        <v>287</v>
      </c>
      <c r="D35" s="10" t="s">
        <v>280</v>
      </c>
      <c r="E35" s="10" t="s">
        <v>240</v>
      </c>
      <c r="F35" s="10" t="s">
        <v>238</v>
      </c>
      <c r="G35" s="10" t="s">
        <v>42</v>
      </c>
      <c r="H35" s="10"/>
      <c r="I35" s="10" t="s">
        <v>43</v>
      </c>
      <c r="J35" s="10" t="s">
        <v>44</v>
      </c>
      <c r="K35" s="11" t="n">
        <v>46318</v>
      </c>
      <c r="L35" s="10" t="s">
        <v>281</v>
      </c>
      <c r="M35" s="10" t="s">
        <v>282</v>
      </c>
      <c r="N35" s="10" t="s">
        <v>47</v>
      </c>
      <c r="O35" s="10" t="s">
        <v>283</v>
      </c>
      <c r="P35" s="9" t="s">
        <v>49</v>
      </c>
      <c r="Q35" s="9"/>
      <c r="R35" s="9"/>
      <c r="S35" s="12" t="s">
        <v>284</v>
      </c>
    </row>
    <row r="36" customFormat="false" ht="43.5" hidden="false" customHeight="true" outlineLevel="0" collapsed="false">
      <c r="A36" s="7" t="s">
        <v>288</v>
      </c>
      <c r="B36" s="7" t="s">
        <v>289</v>
      </c>
      <c r="C36" s="7" t="s">
        <v>290</v>
      </c>
      <c r="D36" s="7" t="s">
        <v>291</v>
      </c>
      <c r="E36" s="7" t="s">
        <v>240</v>
      </c>
      <c r="F36" s="7" t="s">
        <v>247</v>
      </c>
      <c r="G36" s="7" t="s">
        <v>42</v>
      </c>
      <c r="H36" s="7"/>
      <c r="I36" s="7" t="s">
        <v>43</v>
      </c>
      <c r="J36" s="7" t="s">
        <v>44</v>
      </c>
      <c r="K36" s="8" t="n">
        <v>46321</v>
      </c>
      <c r="L36" s="7" t="s">
        <v>292</v>
      </c>
      <c r="M36" s="7" t="s">
        <v>293</v>
      </c>
      <c r="N36" s="7" t="s">
        <v>47</v>
      </c>
      <c r="O36" s="7" t="s">
        <v>294</v>
      </c>
      <c r="P36" s="9" t="s">
        <v>49</v>
      </c>
      <c r="Q36" s="9"/>
      <c r="R36" s="9"/>
      <c r="S36" s="12" t="s">
        <v>295</v>
      </c>
    </row>
    <row r="37" customFormat="false" ht="43.5" hidden="false" customHeight="true" outlineLevel="0" collapsed="false">
      <c r="A37" s="10" t="s">
        <v>296</v>
      </c>
      <c r="B37" s="10" t="s">
        <v>297</v>
      </c>
      <c r="C37" s="10" t="s">
        <v>298</v>
      </c>
      <c r="D37" s="10" t="s">
        <v>291</v>
      </c>
      <c r="E37" s="10" t="s">
        <v>240</v>
      </c>
      <c r="F37" s="10" t="s">
        <v>247</v>
      </c>
      <c r="G37" s="10" t="s">
        <v>42</v>
      </c>
      <c r="H37" s="10"/>
      <c r="I37" s="10" t="s">
        <v>43</v>
      </c>
      <c r="J37" s="10" t="s">
        <v>44</v>
      </c>
      <c r="K37" s="11" t="n">
        <v>46320</v>
      </c>
      <c r="L37" s="10" t="s">
        <v>292</v>
      </c>
      <c r="M37" s="10" t="s">
        <v>293</v>
      </c>
      <c r="N37" s="10" t="s">
        <v>47</v>
      </c>
      <c r="O37" s="10" t="s">
        <v>294</v>
      </c>
      <c r="P37" s="9" t="s">
        <v>49</v>
      </c>
      <c r="Q37" s="9"/>
      <c r="R37" s="9"/>
      <c r="S37" s="12" t="s">
        <v>295</v>
      </c>
    </row>
    <row r="38" customFormat="false" ht="43.5" hidden="false" customHeight="true" outlineLevel="0" collapsed="false">
      <c r="A38" s="7" t="s">
        <v>299</v>
      </c>
      <c r="B38" s="7" t="s">
        <v>300</v>
      </c>
      <c r="C38" s="7" t="s">
        <v>301</v>
      </c>
      <c r="D38" s="7" t="s">
        <v>302</v>
      </c>
      <c r="E38" s="7" t="s">
        <v>240</v>
      </c>
      <c r="F38" s="7" t="s">
        <v>247</v>
      </c>
      <c r="G38" s="7" t="s">
        <v>42</v>
      </c>
      <c r="H38" s="7"/>
      <c r="I38" s="7" t="s">
        <v>43</v>
      </c>
      <c r="J38" s="7" t="s">
        <v>44</v>
      </c>
      <c r="K38" s="8" t="n">
        <v>46319</v>
      </c>
      <c r="L38" s="7" t="s">
        <v>303</v>
      </c>
      <c r="M38" s="7" t="s">
        <v>293</v>
      </c>
      <c r="N38" s="7" t="s">
        <v>64</v>
      </c>
      <c r="O38" s="7" t="s">
        <v>304</v>
      </c>
      <c r="P38" s="9" t="s">
        <v>49</v>
      </c>
      <c r="Q38" s="9"/>
      <c r="R38" s="9"/>
      <c r="S38" s="12" t="s">
        <v>305</v>
      </c>
    </row>
    <row r="39" customFormat="false" ht="43.5" hidden="false" customHeight="true" outlineLevel="0" collapsed="false">
      <c r="A39" s="10" t="s">
        <v>306</v>
      </c>
      <c r="B39" s="10" t="s">
        <v>307</v>
      </c>
      <c r="C39" s="10" t="s">
        <v>308</v>
      </c>
      <c r="D39" s="10" t="s">
        <v>309</v>
      </c>
      <c r="E39" s="10" t="s">
        <v>240</v>
      </c>
      <c r="F39" s="10" t="s">
        <v>247</v>
      </c>
      <c r="G39" s="10" t="s">
        <v>42</v>
      </c>
      <c r="H39" s="10"/>
      <c r="I39" s="10" t="s">
        <v>43</v>
      </c>
      <c r="J39" s="10" t="s">
        <v>44</v>
      </c>
      <c r="K39" s="11" t="n">
        <v>46318</v>
      </c>
      <c r="L39" s="10" t="s">
        <v>292</v>
      </c>
      <c r="M39" s="10" t="s">
        <v>293</v>
      </c>
      <c r="N39" s="10" t="s">
        <v>47</v>
      </c>
      <c r="O39" s="10" t="s">
        <v>310</v>
      </c>
      <c r="P39" s="9" t="s">
        <v>49</v>
      </c>
      <c r="Q39" s="9"/>
      <c r="R39" s="12" t="s">
        <v>247</v>
      </c>
      <c r="S39" s="12" t="s">
        <v>311</v>
      </c>
    </row>
    <row r="40" customFormat="false" ht="43.5" hidden="false" customHeight="true" outlineLevel="0" collapsed="false">
      <c r="A40" s="7" t="s">
        <v>312</v>
      </c>
      <c r="B40" s="7" t="s">
        <v>313</v>
      </c>
      <c r="C40" s="7" t="s">
        <v>314</v>
      </c>
      <c r="D40" s="7" t="s">
        <v>291</v>
      </c>
      <c r="E40" s="7" t="s">
        <v>240</v>
      </c>
      <c r="F40" s="7" t="s">
        <v>247</v>
      </c>
      <c r="G40" s="7" t="s">
        <v>42</v>
      </c>
      <c r="H40" s="7"/>
      <c r="I40" s="7" t="s">
        <v>43</v>
      </c>
      <c r="J40" s="7" t="s">
        <v>44</v>
      </c>
      <c r="K40" s="8" t="n">
        <v>46321</v>
      </c>
      <c r="L40" s="7" t="s">
        <v>315</v>
      </c>
      <c r="M40" s="7" t="s">
        <v>316</v>
      </c>
      <c r="N40" s="7" t="s">
        <v>120</v>
      </c>
      <c r="O40" s="7" t="s">
        <v>317</v>
      </c>
      <c r="P40" s="9" t="s">
        <v>318</v>
      </c>
      <c r="Q40" s="12" t="s">
        <v>319</v>
      </c>
      <c r="R40" s="9" t="s">
        <v>247</v>
      </c>
      <c r="S40" s="12" t="s">
        <v>320</v>
      </c>
    </row>
    <row r="41" customFormat="false" ht="43.5" hidden="false" customHeight="true" outlineLevel="0" collapsed="false">
      <c r="A41" s="10" t="s">
        <v>321</v>
      </c>
      <c r="B41" s="10" t="s">
        <v>322</v>
      </c>
      <c r="C41" s="10" t="s">
        <v>323</v>
      </c>
      <c r="D41" s="10" t="s">
        <v>324</v>
      </c>
      <c r="E41" s="10" t="s">
        <v>240</v>
      </c>
      <c r="F41" s="10" t="s">
        <v>255</v>
      </c>
      <c r="G41" s="10" t="s">
        <v>129</v>
      </c>
      <c r="H41" s="11" t="n">
        <v>46295</v>
      </c>
      <c r="I41" s="10" t="s">
        <v>43</v>
      </c>
      <c r="J41" s="10" t="s">
        <v>44</v>
      </c>
      <c r="K41" s="11" t="n">
        <v>46316</v>
      </c>
      <c r="L41" s="10" t="s">
        <v>325</v>
      </c>
      <c r="M41" s="10" t="s">
        <v>258</v>
      </c>
      <c r="N41" s="10" t="s">
        <v>120</v>
      </c>
      <c r="O41" s="10" t="s">
        <v>326</v>
      </c>
      <c r="P41" s="9" t="s">
        <v>131</v>
      </c>
      <c r="Q41" s="12" t="s">
        <v>327</v>
      </c>
      <c r="R41" s="12" t="s">
        <v>328</v>
      </c>
      <c r="S41" s="12" t="s">
        <v>329</v>
      </c>
    </row>
  </sheetData>
  <autoFilter ref="A1:S41"/>
  <conditionalFormatting sqref="N2:N41">
    <cfRule type="cellIs" priority="2" operator="equal" aboveAverage="0" equalAverage="0" bottom="0" percent="0" rank="0" text="" dxfId="17">
      <formula>"Admin"</formula>
    </cfRule>
    <cfRule type="cellIs" priority="3" operator="equal" aboveAverage="0" equalAverage="0" bottom="0" percent="0" rank="0" text="" dxfId="18">
      <formula>"Elevated"</formula>
    </cfRule>
  </conditionalFormatting>
  <conditionalFormatting sqref="P2:P41">
    <cfRule type="cellIs" priority="4" operator="equal" aboveAverage="0" equalAverage="0" bottom="0" percent="0" rank="0" text="" dxfId="19">
      <formula>"Keep"</formula>
    </cfRule>
    <cfRule type="cellIs" priority="5" operator="equal" aboveAverage="0" equalAverage="0" bottom="0" percent="0" rank="0" text="" dxfId="18">
      <formula>"Modify access"</formula>
    </cfRule>
    <cfRule type="cellIs" priority="6" operator="equal" aboveAverage="0" equalAverage="0" bottom="0" percent="0" rank="0" text="" dxfId="17">
      <formula>"Remove access"</formula>
    </cfRule>
    <cfRule type="cellIs" priority="7" operator="equal" aboveAverage="0" equalAverage="0" bottom="0" percent="0" rank="0" text="" dxfId="20">
      <formula>"Disable account"</formula>
    </cfRule>
    <cfRule type="cellIs" priority="8" operator="equal" aboveAverage="0" equalAverage="0" bottom="0" percent="0" rank="0" text="" dxfId="21">
      <formula>"Escalate"</formula>
    </cfRule>
  </conditionalFormatting>
  <dataValidations count="1">
    <dataValidation allowBlank="true" errorStyle="stop" operator="between" showDropDown="false" showErrorMessage="false" showInputMessage="false" sqref="P2:P41" type="list">
      <formula1>"Keep,Modify access,Remove access,Disable account,Escalate"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D7A4B"/>
    <pageSetUpPr fitToPage="false"/>
  </sheetPr>
  <dimension ref="A1:C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12"/>
    <col collapsed="false" customWidth="true" hidden="false" outlineLevel="0" max="3" min="3" style="1" width="20"/>
  </cols>
  <sheetData>
    <row r="1" customFormat="false" ht="15" hidden="false" customHeight="true" outlineLevel="0" collapsed="false">
      <c r="A1" s="13" t="s">
        <v>330</v>
      </c>
      <c r="B1" s="14"/>
      <c r="C1" s="14"/>
    </row>
    <row r="2" customFormat="false" ht="15" hidden="false" customHeight="true" outlineLevel="0" collapsed="false">
      <c r="A2" s="14"/>
      <c r="B2" s="14"/>
      <c r="C2" s="14"/>
    </row>
    <row r="3" customFormat="false" ht="15" hidden="false" customHeight="true" outlineLevel="0" collapsed="false">
      <c r="A3" s="15" t="s">
        <v>32</v>
      </c>
      <c r="B3" s="15" t="s">
        <v>331</v>
      </c>
      <c r="C3" s="14"/>
    </row>
    <row r="4" customFormat="false" ht="15" hidden="false" customHeight="true" outlineLevel="0" collapsed="false">
      <c r="A4" s="14" t="s">
        <v>49</v>
      </c>
      <c r="B4" s="14" t="n">
        <f aca="false">COUNTIF('Access Review'!$P$2:$P$41,A4)</f>
        <v>32</v>
      </c>
      <c r="C4" s="14"/>
    </row>
    <row r="5" customFormat="false" ht="15" hidden="false" customHeight="true" outlineLevel="0" collapsed="false">
      <c r="A5" s="14" t="s">
        <v>122</v>
      </c>
      <c r="B5" s="14" t="n">
        <f aca="false">COUNTIF('Access Review'!$P$2:$P$41,A5)</f>
        <v>3</v>
      </c>
      <c r="C5" s="14"/>
    </row>
    <row r="6" customFormat="false" ht="15" hidden="false" customHeight="true" outlineLevel="0" collapsed="false">
      <c r="A6" s="14" t="s">
        <v>318</v>
      </c>
      <c r="B6" s="14" t="n">
        <f aca="false">COUNTIF('Access Review'!$P$2:$P$41,A6)</f>
        <v>1</v>
      </c>
      <c r="C6" s="14"/>
    </row>
    <row r="7" customFormat="false" ht="15" hidden="false" customHeight="true" outlineLevel="0" collapsed="false">
      <c r="A7" s="14" t="s">
        <v>131</v>
      </c>
      <c r="B7" s="14" t="n">
        <f aca="false">COUNTIF('Access Review'!$P$2:$P$41,A7)</f>
        <v>3</v>
      </c>
      <c r="C7" s="14"/>
    </row>
    <row r="8" customFormat="false" ht="15" hidden="false" customHeight="true" outlineLevel="0" collapsed="false">
      <c r="A8" s="14" t="s">
        <v>138</v>
      </c>
      <c r="B8" s="14" t="n">
        <f aca="false">COUNTIF('Access Review'!$P$2:$P$41,A8)</f>
        <v>1</v>
      </c>
      <c r="C8" s="14"/>
    </row>
    <row r="9" customFormat="false" ht="15" hidden="false" customHeight="true" outlineLevel="0" collapsed="false">
      <c r="A9" s="14" t="s">
        <v>332</v>
      </c>
      <c r="B9" s="14" t="n">
        <f aca="false">SUM(B4:B8)</f>
        <v>40</v>
      </c>
      <c r="C9" s="14"/>
    </row>
    <row r="10" customFormat="false" ht="15" hidden="false" customHeight="true" outlineLevel="0" collapsed="false">
      <c r="A10" s="14" t="s">
        <v>333</v>
      </c>
      <c r="B10" s="14" t="n">
        <f aca="false">COUNTA('Access Review'!$A$2:$A$41)</f>
        <v>40</v>
      </c>
      <c r="C10" s="14"/>
    </row>
    <row r="11" customFormat="false" ht="15" hidden="false" customHeight="true" outlineLevel="0" collapsed="false">
      <c r="A11" s="14" t="s">
        <v>334</v>
      </c>
      <c r="B11" s="14" t="n">
        <f aca="false">B10-B9</f>
        <v>0</v>
      </c>
      <c r="C11" s="14"/>
    </row>
    <row r="12" customFormat="false" ht="15" hidden="false" customHeight="true" outlineLevel="0" collapsed="false">
      <c r="A12" s="14"/>
      <c r="B12" s="14"/>
      <c r="C12" s="14"/>
    </row>
    <row r="13" customFormat="false" ht="15" hidden="false" customHeight="true" outlineLevel="0" collapsed="false">
      <c r="A13" s="15" t="s">
        <v>335</v>
      </c>
      <c r="B13" s="15" t="s">
        <v>336</v>
      </c>
      <c r="C13" s="15" t="s">
        <v>337</v>
      </c>
    </row>
    <row r="14" customFormat="false" ht="15" hidden="false" customHeight="true" outlineLevel="0" collapsed="false">
      <c r="A14" s="14" t="s">
        <v>40</v>
      </c>
      <c r="B14" s="14" t="n">
        <f aca="false">COUNTIF('Access Review'!$E$2:$E$41,A14)</f>
        <v>14</v>
      </c>
      <c r="C14" s="14" t="n">
        <f aca="false">COUNTIFS('Access Review'!$E$2:$E$41,A14,'Access Review'!$P$2:$P$41,"&lt;&gt;Keep",'Access Review'!$P$2:$P$41,"&lt;&gt;")</f>
        <v>3</v>
      </c>
    </row>
    <row r="15" customFormat="false" ht="15" hidden="false" customHeight="true" outlineLevel="0" collapsed="false">
      <c r="A15" s="14" t="s">
        <v>144</v>
      </c>
      <c r="B15" s="14" t="n">
        <f aca="false">COUNTIF('Access Review'!$E$2:$E$41,A15)</f>
        <v>13</v>
      </c>
      <c r="C15" s="14" t="n">
        <f aca="false">COUNTIFS('Access Review'!$E$2:$E$41,A15,'Access Review'!$P$2:$P$41,"&lt;&gt;Keep",'Access Review'!$P$2:$P$41,"&lt;&gt;")</f>
        <v>3</v>
      </c>
    </row>
    <row r="16" customFormat="false" ht="15" hidden="false" customHeight="true" outlineLevel="0" collapsed="false">
      <c r="A16" s="14" t="s">
        <v>240</v>
      </c>
      <c r="B16" s="14" t="n">
        <f aca="false">COUNTIF('Access Review'!$E$2:$E$41,A16)</f>
        <v>13</v>
      </c>
      <c r="C16" s="14" t="n">
        <f aca="false">COUNTIFS('Access Review'!$E$2:$E$41,A16,'Access Review'!$P$2:$P$41,"&lt;&gt;Keep",'Access Review'!$P$2:$P$41,"&lt;&gt;")</f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2026-10-27T03:27:39Z</dcterms:created>
  <dc:creator>openpyxl</dc:creator>
  <dc:description/>
  <dc:language>en-US</dc:language>
  <cp:lastModifiedBy/>
  <dcterms:modified xsi:type="dcterms:W3CDTF">2026-11-02T02:24:00Z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